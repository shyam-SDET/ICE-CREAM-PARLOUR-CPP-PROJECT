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slicers/slicer2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slicers/slicer4.xml" ContentType="application/vnd.ms-excel.slicer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6.xml" ContentType="application/vnd.openxmlformats-officedocument.spreadsheetml.pivotTab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7.xml" ContentType="application/vnd.openxmlformats-officedocument.spreadsheetml.pivotTab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8.xml" ContentType="application/vnd.openxmlformats-officedocument.spreadsheetml.pivotTab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4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11.xml" ContentType="application/vnd.openxmlformats-officedocument.spreadsheetml.pivotTab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2.xml" ContentType="application/vnd.openxmlformats-officedocument.spreadsheetml.pivotTable+xml"/>
  <Override PartName="/xl/drawings/drawing17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13.xml" ContentType="application/vnd.openxmlformats-officedocument.spreadsheetml.pivotTab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9.xml" ContentType="application/vnd.openxmlformats-officedocument.drawing+xml"/>
  <Override PartName="/xl/pivotTables/pivotTable14.xml" ContentType="application/vnd.openxmlformats-officedocument.spreadsheetml.pivot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sex ratio in india\"/>
    </mc:Choice>
  </mc:AlternateContent>
  <xr:revisionPtr revIDLastSave="0" documentId="13_ncr:1_{E2D42158-E44E-4816-85A3-2E7B3F5AD477}" xr6:coauthVersionLast="45" xr6:coauthVersionMax="45" xr10:uidLastSave="{00000000-0000-0000-0000-000000000000}"/>
  <bookViews>
    <workbookView xWindow="-108" yWindow="-108" windowWidth="23256" windowHeight="12576" tabRatio="1000" firstSheet="12" activeTab="20" xr2:uid="{00000000-000D-0000-FFFF-FFFF00000000}"/>
  </bookViews>
  <sheets>
    <sheet name="INDEX" sheetId="16" r:id="rId1"/>
    <sheet name="INTRO" sheetId="18" r:id="rId2"/>
    <sheet name="DASHBOARD" sheetId="12" r:id="rId3"/>
    <sheet name="1)SEX RATIO COMPLETE" sheetId="15" r:id="rId4"/>
    <sheet name="2)CHANGE IN SEX RATIO" sheetId="2" r:id="rId5"/>
    <sheet name="3)SUB CATEGORY WISE TOTAL" sheetId="3" r:id="rId6"/>
    <sheet name="4)ratio of U.T." sheetId="4" r:id="rId7"/>
    <sheet name="5)CSR VS SR" sheetId="7" r:id="rId8"/>
    <sheet name="6)LR_VS_SR_PIVOT" sheetId="23" r:id="rId9"/>
    <sheet name="7)DGR_VS_SR_PIVOT" sheetId="22" r:id="rId10"/>
    <sheet name="ZONES WISE" sheetId="24" r:id="rId11"/>
    <sheet name="BOTTOM 5 SEX RATIO OF 2011" sheetId="31" r:id="rId12"/>
    <sheet name="RATIO OF RURAL TO URBAN" sheetId="37" r:id="rId13"/>
    <sheet name="SEX__RATIO" sheetId="1" r:id="rId14"/>
    <sheet name="%CHANGE" sheetId="33" r:id="rId15"/>
    <sheet name="Child sex ratio" sheetId="6" r:id="rId16"/>
    <sheet name="2001" sheetId="30" r:id="rId17"/>
    <sheet name="LITERACY RATE1" sheetId="32" r:id="rId18"/>
    <sheet name="LITERACY RATE" sheetId="9" r:id="rId19"/>
    <sheet name="CALCULATING CORR. COEFF." sheetId="13" r:id="rId20"/>
    <sheet name="STATE WISE DIFFRENCE" sheetId="29" r:id="rId21"/>
    <sheet name="RANK OF FEMALE" sheetId="35" r:id="rId22"/>
    <sheet name="DASHBOARD2" sheetId="38" r:id="rId23"/>
    <sheet name="decadal growth rate vs S.R. " sheetId="19" r:id="rId24"/>
  </sheets>
  <definedNames>
    <definedName name="_xlcn.WorksheetConnection_exceletpproject.xlsxTable41" hidden="1">Table4[]</definedName>
    <definedName name="_xlcn.WorksheetConnection_exceletpproject.xlsxTable51" hidden="1">Table5[]</definedName>
    <definedName name="_xlcn.WorksheetConnection_propro111111.xlsxCSR1" hidden="1">CSR[]</definedName>
    <definedName name="_xlcn.WorksheetConnection_propro111111.xlsxSexRatio1" hidden="1">SexRatio[]</definedName>
    <definedName name="_xlcn.WorksheetConnection_propro111111.xlsxTable31" hidden="1">Literacy_rate[]</definedName>
    <definedName name="dgr_vs_sr_pivot">'7)DGR_VS_SR_PIVOT'!$A$3:$C$39</definedName>
    <definedName name="dgr_vs_sr_table">Table4[#All]</definedName>
    <definedName name="literacy_rate_sr_table">Table5[#All]</definedName>
    <definedName name="lr_vs_sr_pivot">'6)LR_VS_SR_PIVOT'!$A$3:$C$39</definedName>
    <definedName name="LR_VS_SR_TABLE">Table5[#All]</definedName>
    <definedName name="Slicer_Sub_category">#N/A</definedName>
    <definedName name="Slicer_Sub_category1">#N/A</definedName>
    <definedName name="Slicer_Sub_category2">#N/A</definedName>
    <definedName name="Slicer_Sub_category3">#N/A</definedName>
    <definedName name="Slicer_Sub_category4">#N/A</definedName>
    <definedName name="Slicer_ZONES">#N/A</definedName>
    <definedName name="Slicer_ZONES1">#N/A</definedName>
    <definedName name="Slicer_ZONES2">#N/A</definedName>
  </definedNames>
  <calcPr calcId="181029"/>
  <pivotCaches>
    <pivotCache cacheId="0" r:id="rId25"/>
    <pivotCache cacheId="1" r:id="rId26"/>
    <pivotCache cacheId="2" r:id="rId27"/>
    <pivotCache cacheId="3" r:id="rId28"/>
    <pivotCache cacheId="4" r:id="rId29"/>
    <pivotCache cacheId="5" r:id="rId30"/>
  </pivotCaches>
  <extLst>
    <ext xmlns:x14="http://schemas.microsoft.com/office/spreadsheetml/2009/9/main" uri="{BBE1A952-AA13-448e-AADC-164F8A28A991}">
      <x14:slicerCaches>
        <x14:slicerCache r:id="rId31"/>
        <x14:slicerCache r:id="rId32"/>
        <x14:slicerCache r:id="rId33"/>
        <x14:slicerCache r:id="rId34"/>
        <x14:slicerCache r:id="rId3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" i="1"/>
  <c r="L3" i="1"/>
  <c r="E41" i="1"/>
  <c r="F41" i="1"/>
  <c r="G41" i="1"/>
  <c r="H41" i="1"/>
  <c r="I41" i="1"/>
  <c r="F13" i="19" l="1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F29" i="19"/>
  <c r="F30" i="19"/>
  <c r="F31" i="19"/>
  <c r="F32" i="19"/>
  <c r="F33" i="19"/>
  <c r="F34" i="19"/>
  <c r="F35" i="19"/>
  <c r="F36" i="19"/>
  <c r="F3" i="19"/>
  <c r="F4" i="19"/>
  <c r="F5" i="19"/>
  <c r="F6" i="19"/>
  <c r="F7" i="19"/>
  <c r="F8" i="19"/>
  <c r="F9" i="19"/>
  <c r="F10" i="19"/>
  <c r="F11" i="19"/>
  <c r="F12" i="19"/>
  <c r="F2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13" i="19"/>
  <c r="I12" i="19"/>
  <c r="I11" i="19"/>
  <c r="I10" i="19"/>
  <c r="I9" i="19"/>
  <c r="I8" i="19"/>
  <c r="I7" i="19"/>
  <c r="I6" i="19"/>
  <c r="J6" i="19" s="1"/>
  <c r="I5" i="19"/>
  <c r="I4" i="19"/>
  <c r="I3" i="19"/>
  <c r="I2" i="19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O117" i="12" s="1"/>
  <c r="I45" i="1"/>
  <c r="H45" i="1"/>
  <c r="G45" i="1"/>
  <c r="F45" i="1"/>
  <c r="E45" i="1"/>
  <c r="D45" i="1"/>
  <c r="I44" i="1"/>
  <c r="H44" i="1"/>
  <c r="G44" i="1"/>
  <c r="F44" i="1"/>
  <c r="E44" i="1"/>
  <c r="D44" i="1"/>
  <c r="I43" i="1"/>
  <c r="H43" i="1"/>
  <c r="G43" i="1"/>
  <c r="F43" i="1"/>
  <c r="E43" i="1"/>
  <c r="D43" i="1"/>
  <c r="I42" i="1"/>
  <c r="H42" i="1"/>
  <c r="G42" i="1"/>
  <c r="F42" i="1"/>
  <c r="E42" i="1"/>
  <c r="D42" i="1"/>
  <c r="D41" i="1"/>
  <c r="O121" i="12"/>
  <c r="O120" i="12"/>
  <c r="O118" i="12"/>
  <c r="H36" i="19" l="1"/>
  <c r="J36" i="19" s="1"/>
  <c r="H16" i="19"/>
  <c r="J16" i="19" s="1"/>
  <c r="H29" i="19"/>
  <c r="J29" i="19" s="1"/>
  <c r="H4" i="19"/>
  <c r="J4" i="19" s="1"/>
  <c r="H15" i="19"/>
  <c r="J15" i="19" s="1"/>
  <c r="H23" i="19"/>
  <c r="J23" i="19" s="1"/>
  <c r="H17" i="19"/>
  <c r="J17" i="19" s="1"/>
  <c r="H9" i="19"/>
  <c r="J9" i="19" s="1"/>
  <c r="H31" i="19"/>
  <c r="J31" i="19" s="1"/>
  <c r="H25" i="19"/>
  <c r="J25" i="19" s="1"/>
  <c r="H27" i="19"/>
  <c r="J27" i="19" s="1"/>
  <c r="H14" i="19"/>
  <c r="J14" i="19" s="1"/>
  <c r="H33" i="19"/>
  <c r="J33" i="19" s="1"/>
  <c r="H32" i="19"/>
  <c r="J32" i="19" s="1"/>
  <c r="H35" i="19"/>
  <c r="J35" i="19" s="1"/>
  <c r="H13" i="19"/>
  <c r="J13" i="19" s="1"/>
  <c r="H19" i="19"/>
  <c r="J19" i="19" s="1"/>
  <c r="H18" i="19"/>
  <c r="J18" i="19" s="1"/>
  <c r="H8" i="19"/>
  <c r="J8" i="19" s="1"/>
  <c r="H11" i="19"/>
  <c r="J11" i="19" s="1"/>
  <c r="H21" i="19"/>
  <c r="J21" i="19" s="1"/>
  <c r="H7" i="19"/>
  <c r="J7" i="19" s="1"/>
  <c r="H10" i="19"/>
  <c r="J10" i="19" s="1"/>
  <c r="H28" i="19"/>
  <c r="J28" i="19" s="1"/>
  <c r="H22" i="19"/>
  <c r="J22" i="19" s="1"/>
  <c r="H2" i="19"/>
  <c r="J2" i="19" s="1"/>
  <c r="H34" i="19"/>
  <c r="J34" i="19" s="1"/>
  <c r="H3" i="19"/>
  <c r="J3" i="19" s="1"/>
  <c r="H24" i="19"/>
  <c r="J24" i="19" s="1"/>
  <c r="H20" i="19"/>
  <c r="J20" i="19" s="1"/>
  <c r="H12" i="19"/>
  <c r="J12" i="19" s="1"/>
  <c r="F37" i="19"/>
  <c r="H30" i="19"/>
  <c r="J30" i="19" s="1"/>
  <c r="H26" i="19"/>
  <c r="J26" i="19" s="1"/>
  <c r="H5" i="19"/>
  <c r="J5" i="19" s="1"/>
  <c r="J38" i="1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WorksheetConnection_excel etp project.xlsx!Table4" type="5" refreshedVersion="2" saveData="1">
    <dbPr connection="" command=""/>
  </connection>
  <connection id="2" xr16:uid="{00000000-0015-0000-FFFF-FFFF01000000}" name="WorksheetConnection_excel etp project.xlsx!Table5" type="5" refreshedVersion="2" saveData="1">
    <dbPr connection="" command=""/>
  </connection>
  <connection id="3" xr16:uid="{00000000-0015-0000-FFFF-FFFF02000000}" name="WorksheetConnection_propro111111.xlsx!CSR" type="5" refreshedVersion="2" saveData="1">
    <dbPr connection="" command=""/>
  </connection>
  <connection id="4" xr16:uid="{00000000-0015-0000-FFFF-FFFF03000000}" name="WorksheetConnection_propro111111.xlsx!SexRatio" type="5" refreshedVersion="2" saveData="1">
    <dbPr connection="" command=""/>
  </connection>
  <connection id="5" xr16:uid="{00000000-0015-0000-FFFF-FFFF04000000}" name="WorksheetConnection_propro111111.xlsx!Table3" type="5" refreshedVersion="2" saveData="1">
    <dbPr connection="" command=""/>
  </connection>
</connections>
</file>

<file path=xl/sharedStrings.xml><?xml version="1.0" encoding="utf-8"?>
<sst xmlns="http://schemas.openxmlformats.org/spreadsheetml/2006/main" count="936" uniqueCount="138">
  <si>
    <t>DASHBOARD FOR SEX RATIO OF INDIA (2001-2011)</t>
  </si>
  <si>
    <t xml:space="preserve">MATHEMATICAL </t>
  </si>
  <si>
    <t>TOTAL</t>
  </si>
  <si>
    <t>RURAL</t>
  </si>
  <si>
    <t>URBAN</t>
  </si>
  <si>
    <t>STATISTICS</t>
  </si>
  <si>
    <t>MAX</t>
  </si>
  <si>
    <t>MIN</t>
  </si>
  <si>
    <t>VARIANCE</t>
  </si>
  <si>
    <t>STANDARD</t>
  </si>
  <si>
    <t>DEVIATION</t>
  </si>
  <si>
    <t>SUM</t>
  </si>
  <si>
    <t>6*D²</t>
  </si>
  <si>
    <t>(N³-N)</t>
  </si>
  <si>
    <t>6(D²)/(N³-N)</t>
  </si>
  <si>
    <t>R</t>
  </si>
  <si>
    <t>POSITIVE CORRELATION</t>
  </si>
  <si>
    <t>COEFFICIENT</t>
  </si>
  <si>
    <t>CORRELATION</t>
  </si>
  <si>
    <t>.00-.19</t>
  </si>
  <si>
    <t>VERY WEAK</t>
  </si>
  <si>
    <t>.20-.39</t>
  </si>
  <si>
    <t>WEAK</t>
  </si>
  <si>
    <t>.40-.59</t>
  </si>
  <si>
    <t>MODERATE</t>
  </si>
  <si>
    <t>.60-.79</t>
  </si>
  <si>
    <t>STRONG</t>
  </si>
  <si>
    <t>.80-1.0</t>
  </si>
  <si>
    <t>VERY STRONG</t>
  </si>
  <si>
    <t>VALUES</t>
  </si>
  <si>
    <t>6(D²)</t>
  </si>
  <si>
    <t>(N^3-N)</t>
  </si>
  <si>
    <t>NEGATIVE CORRELATION</t>
  </si>
  <si>
    <t>Row Labels</t>
  </si>
  <si>
    <t>Sum of  Rural - 2011</t>
  </si>
  <si>
    <t>Sum of Urban - 2011</t>
  </si>
  <si>
    <t>Sum of  Rural - 2001</t>
  </si>
  <si>
    <t>Sum of Urban - 2001</t>
  </si>
  <si>
    <t>North East</t>
  </si>
  <si>
    <t>Arunachal Pradesh</t>
  </si>
  <si>
    <t>Assam</t>
  </si>
  <si>
    <t>Manipur</t>
  </si>
  <si>
    <t>Meghalaya</t>
  </si>
  <si>
    <t>Mizoram</t>
  </si>
  <si>
    <t>Nagaland</t>
  </si>
  <si>
    <t>Sikkim</t>
  </si>
  <si>
    <t>Tripura</t>
  </si>
  <si>
    <t>Grand Total</t>
  </si>
  <si>
    <t>Total - 2001</t>
  </si>
  <si>
    <t>Total - 2011</t>
  </si>
  <si>
    <t>2011-2001 difference</t>
  </si>
  <si>
    <t>Bihar</t>
  </si>
  <si>
    <t>Andhra Pradesh</t>
  </si>
  <si>
    <t>Chhattisgarh</t>
  </si>
  <si>
    <t>Goa</t>
  </si>
  <si>
    <t>Karnataka</t>
  </si>
  <si>
    <t>Kerala</t>
  </si>
  <si>
    <t>Odisha</t>
  </si>
  <si>
    <t>Puducherry</t>
  </si>
  <si>
    <t>Tamil Nadu</t>
  </si>
  <si>
    <t>Category</t>
  </si>
  <si>
    <t>Union Territory</t>
  </si>
  <si>
    <t>Ratio 2001</t>
  </si>
  <si>
    <t>Ratio -2011</t>
  </si>
  <si>
    <t>Sum of AVERAGE</t>
  </si>
  <si>
    <t>A &amp; N Islands</t>
  </si>
  <si>
    <t>Chandigarh</t>
  </si>
  <si>
    <t>D &amp; N Haveli</t>
  </si>
  <si>
    <t>Daman &amp; Diu</t>
  </si>
  <si>
    <t>Lakshadweep</t>
  </si>
  <si>
    <t>NCT of Delhi</t>
  </si>
  <si>
    <t>Sum of CSR Total - 2001</t>
  </si>
  <si>
    <t>Sum of CSR Total - 2011</t>
  </si>
  <si>
    <t>Sum of Total - 2001</t>
  </si>
  <si>
    <t>Sum of Total - 2011</t>
  </si>
  <si>
    <t>Madhya Pradesh</t>
  </si>
  <si>
    <t>Maharashtra</t>
  </si>
  <si>
    <t>Uttar Pradesh</t>
  </si>
  <si>
    <t>West Bengal</t>
  </si>
  <si>
    <t>Sub-category</t>
  </si>
  <si>
    <t>Sum of RANK(L.R.)</t>
  </si>
  <si>
    <t>Sum of RANK(S.R.)</t>
  </si>
  <si>
    <t>Gujarat</t>
  </si>
  <si>
    <t>Haryana</t>
  </si>
  <si>
    <t>Himachal Pradesh</t>
  </si>
  <si>
    <t>Jammu &amp; Kashmir</t>
  </si>
  <si>
    <t>Jharkhand</t>
  </si>
  <si>
    <t>Punjab</t>
  </si>
  <si>
    <t>Rajasthan</t>
  </si>
  <si>
    <t>Uttarakhand</t>
  </si>
  <si>
    <t>RANK DIFF.</t>
  </si>
  <si>
    <t>RANK DGR</t>
  </si>
  <si>
    <t>Sum of  Total - 2011</t>
  </si>
  <si>
    <t>Sum of  Total - 2001</t>
  </si>
  <si>
    <t>North</t>
  </si>
  <si>
    <t>ZONES</t>
  </si>
  <si>
    <t xml:space="preserve"> Total - 2001</t>
  </si>
  <si>
    <t xml:space="preserve"> Total - 2011</t>
  </si>
  <si>
    <t xml:space="preserve"> Rural - 2001</t>
  </si>
  <si>
    <t xml:space="preserve"> Rural - 2011</t>
  </si>
  <si>
    <t>Urban - 2001</t>
  </si>
  <si>
    <t>Urban - 2011</t>
  </si>
  <si>
    <t>Country</t>
  </si>
  <si>
    <t>INDIA</t>
  </si>
  <si>
    <t>State</t>
  </si>
  <si>
    <t>South</t>
  </si>
  <si>
    <t>East</t>
  </si>
  <si>
    <t>Central</t>
  </si>
  <si>
    <t>West</t>
  </si>
  <si>
    <t>U.T.</t>
  </si>
  <si>
    <t>STDANDARD DEV.</t>
  </si>
  <si>
    <t>AVERAGE</t>
  </si>
  <si>
    <t>Sum of % CHANGE From SR-2011</t>
  </si>
  <si>
    <t>CSR Total - 2001</t>
  </si>
  <si>
    <t>CSR Total - 2011</t>
  </si>
  <si>
    <t>CSR Rural - 2001</t>
  </si>
  <si>
    <t>CSR Rural - 2011</t>
  </si>
  <si>
    <t>CSR Urban - 2001</t>
  </si>
  <si>
    <t>CSR Urban - 2011</t>
  </si>
  <si>
    <t>% CHANGE From SR-2011</t>
  </si>
  <si>
    <t>% CHANGE FROM SR-2001</t>
  </si>
  <si>
    <t>Sum of Literacy Rate-2001</t>
  </si>
  <si>
    <t>Sum of Literacy Rate-2011</t>
  </si>
  <si>
    <t>Literacy Rate-2001</t>
  </si>
  <si>
    <t>Literacy Rate-2011</t>
  </si>
  <si>
    <t>RANK(L.R.)</t>
  </si>
  <si>
    <t>RANK(S.R.)</t>
  </si>
  <si>
    <t>D^2</t>
  </si>
  <si>
    <t>Sum of Difference</t>
  </si>
  <si>
    <t>Difference</t>
  </si>
  <si>
    <t>DGR -2001-11</t>
  </si>
  <si>
    <t>(RANK DGR-RANK DIFF.)^2</t>
  </si>
  <si>
    <t>Sum of RANK DIFF.</t>
  </si>
  <si>
    <t>RATIO OF RURAL TO URBAN(2001)</t>
  </si>
  <si>
    <t>RATIO OF RURAL TO URBAN(2011)</t>
  </si>
  <si>
    <t>(blank)</t>
  </si>
  <si>
    <t>Sum of RATIO OF RURAL TO URBAN(2001)</t>
  </si>
  <si>
    <t>Sum of RATIO OF RURAL TO URBAN(2011)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</si>
</sst>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0.0000"/>
  </numFmts>
  <fonts count="12">
    <font>
      <sz val="12"/>
      <color theme="1"/>
      <name val="Arial Rounded MT Bold"/>
      <charset val="134"/>
    </font>
    <font>
      <sz val="12"/>
      <color theme="2" tint="-0.89996032593768116"/>
      <name val="Arial Rounded MT Bold"/>
      <charset val="134"/>
    </font>
    <font>
      <b/>
      <sz val="12"/>
      <color theme="1"/>
      <name val="Arial Rounded MT Bold"/>
      <charset val="134"/>
    </font>
    <font>
      <sz val="12"/>
      <color theme="4" tint="0.39994506668294322"/>
      <name val="Arial Rounded MT Bold"/>
      <charset val="134"/>
    </font>
    <font>
      <sz val="26"/>
      <color theme="4" tint="-0.499984740745262"/>
      <name val="Bernard MT Condensed"/>
      <charset val="134"/>
    </font>
    <font>
      <b/>
      <sz val="18"/>
      <color theme="0"/>
      <name val="Calibri"/>
      <charset val="134"/>
    </font>
    <font>
      <b/>
      <sz val="18"/>
      <color theme="6" tint="-0.499984740745262"/>
      <name val="Calibri"/>
      <charset val="134"/>
      <scheme val="minor"/>
    </font>
    <font>
      <sz val="18"/>
      <color theme="0"/>
      <name val="Arial Rounded MT Bold"/>
      <charset val="134"/>
    </font>
    <font>
      <sz val="14"/>
      <color theme="1"/>
      <name val="AR CENA"/>
      <charset val="134"/>
    </font>
    <font>
      <sz val="18"/>
      <color theme="1"/>
      <name val="AR CENA"/>
      <charset val="134"/>
    </font>
    <font>
      <sz val="18"/>
      <color theme="1"/>
      <name val="Arial Rounded MT Bold"/>
      <charset val="134"/>
    </font>
    <font>
      <sz val="12"/>
      <color theme="1"/>
      <name val="Arial Rounded MT Bold"/>
      <charset val="134"/>
    </font>
  </fonts>
  <fills count="16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43" fontId="11" fillId="0" borderId="0" applyFont="0" applyFill="0" applyBorder="0" applyAlignment="0" applyProtection="0"/>
  </cellStyleXfs>
  <cellXfs count="73">
    <xf numFmtId="0" fontId="0" fillId="0" borderId="0" xfId="0"/>
    <xf numFmtId="43" fontId="0" fillId="2" borderId="0" xfId="1" applyFont="1" applyFill="1"/>
    <xf numFmtId="0" fontId="0" fillId="2" borderId="0" xfId="0" applyFill="1"/>
    <xf numFmtId="0" fontId="0" fillId="3" borderId="0" xfId="0" applyFill="1"/>
    <xf numFmtId="0" fontId="1" fillId="4" borderId="0" xfId="0" applyFont="1" applyFill="1"/>
    <xf numFmtId="43" fontId="1" fillId="4" borderId="0" xfId="1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" borderId="10" xfId="0" applyFill="1" applyBorder="1"/>
    <xf numFmtId="0" fontId="0" fillId="5" borderId="0" xfId="0" applyFill="1"/>
    <xf numFmtId="0" fontId="0" fillId="4" borderId="0" xfId="0" applyFill="1" applyAlignment="1">
      <alignment horizontal="left"/>
    </xf>
    <xf numFmtId="0" fontId="0" fillId="4" borderId="0" xfId="0" applyNumberFormat="1" applyFill="1"/>
    <xf numFmtId="0" fontId="0" fillId="3" borderId="0" xfId="0" applyFill="1" applyAlignment="1">
      <alignment horizontal="left"/>
    </xf>
    <xf numFmtId="0" fontId="0" fillId="3" borderId="0" xfId="0" applyNumberFormat="1" applyFill="1"/>
    <xf numFmtId="2" fontId="0" fillId="2" borderId="0" xfId="0" applyNumberFormat="1" applyFill="1"/>
    <xf numFmtId="0" fontId="0" fillId="6" borderId="0" xfId="0" applyFill="1"/>
    <xf numFmtId="0" fontId="0" fillId="6" borderId="0" xfId="0" applyFill="1" applyAlignment="1">
      <alignment horizontal="left"/>
    </xf>
    <xf numFmtId="0" fontId="0" fillId="6" borderId="0" xfId="0" applyNumberFormat="1" applyFill="1"/>
    <xf numFmtId="0" fontId="3" fillId="7" borderId="0" xfId="0" applyFont="1" applyFill="1"/>
    <xf numFmtId="0" fontId="3" fillId="4" borderId="0" xfId="0" applyFont="1" applyFill="1"/>
    <xf numFmtId="0" fontId="0" fillId="4" borderId="0" xfId="0" applyFill="1"/>
    <xf numFmtId="0" fontId="0" fillId="8" borderId="0" xfId="0" applyFill="1"/>
    <xf numFmtId="0" fontId="4" fillId="2" borderId="0" xfId="0" applyFont="1" applyFill="1"/>
    <xf numFmtId="0" fontId="5" fillId="9" borderId="11" xfId="0" applyFont="1" applyFill="1" applyBorder="1" applyAlignment="1">
      <alignment vertical="center" wrapText="1"/>
    </xf>
    <xf numFmtId="0" fontId="5" fillId="9" borderId="12" xfId="0" applyFont="1" applyFill="1" applyBorder="1" applyAlignment="1">
      <alignment vertical="center" wrapText="1"/>
    </xf>
    <xf numFmtId="0" fontId="5" fillId="9" borderId="13" xfId="0" applyFont="1" applyFill="1" applyBorder="1" applyAlignment="1">
      <alignment vertical="center" wrapText="1"/>
    </xf>
    <xf numFmtId="0" fontId="5" fillId="9" borderId="14" xfId="0" applyFont="1" applyFill="1" applyBorder="1" applyAlignment="1">
      <alignment vertical="center" wrapText="1"/>
    </xf>
    <xf numFmtId="0" fontId="6" fillId="0" borderId="14" xfId="0" applyFont="1" applyBorder="1" applyAlignment="1">
      <alignment vertical="center" wrapText="1"/>
    </xf>
    <xf numFmtId="0" fontId="6" fillId="0" borderId="11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5" fillId="9" borderId="15" xfId="0" applyFont="1" applyFill="1" applyBorder="1" applyAlignment="1">
      <alignment vertical="center" wrapText="1"/>
    </xf>
    <xf numFmtId="0" fontId="7" fillId="9" borderId="0" xfId="0" applyFont="1" applyFill="1"/>
    <xf numFmtId="164" fontId="7" fillId="9" borderId="0" xfId="0" applyNumberFormat="1" applyFont="1" applyFill="1"/>
    <xf numFmtId="0" fontId="8" fillId="9" borderId="16" xfId="0" applyFont="1" applyFill="1" applyBorder="1"/>
    <xf numFmtId="0" fontId="8" fillId="9" borderId="17" xfId="0" applyFont="1" applyFill="1" applyBorder="1"/>
    <xf numFmtId="0" fontId="9" fillId="10" borderId="18" xfId="0" applyFont="1" applyFill="1" applyBorder="1"/>
    <xf numFmtId="0" fontId="9" fillId="10" borderId="19" xfId="0" applyFont="1" applyFill="1" applyBorder="1"/>
    <xf numFmtId="0" fontId="10" fillId="10" borderId="18" xfId="0" applyFont="1" applyFill="1" applyBorder="1"/>
    <xf numFmtId="0" fontId="10" fillId="10" borderId="19" xfId="0" applyFont="1" applyFill="1" applyBorder="1"/>
    <xf numFmtId="0" fontId="10" fillId="10" borderId="20" xfId="0" applyFont="1" applyFill="1" applyBorder="1"/>
    <xf numFmtId="0" fontId="10" fillId="10" borderId="21" xfId="0" applyFont="1" applyFill="1" applyBorder="1"/>
    <xf numFmtId="0" fontId="0" fillId="11" borderId="0" xfId="0" applyFill="1"/>
    <xf numFmtId="0" fontId="0" fillId="0" borderId="0" xfId="0" pivotButton="1"/>
    <xf numFmtId="0" fontId="1" fillId="15" borderId="0" xfId="0" applyFont="1" applyFill="1"/>
    <xf numFmtId="0" fontId="1" fillId="15" borderId="0" xfId="0" applyNumberFormat="1" applyFont="1" applyFill="1"/>
    <xf numFmtId="0" fontId="0" fillId="0" borderId="0" xfId="0" applyAlignment="1">
      <alignment horizontal="left" indent="1"/>
    </xf>
    <xf numFmtId="0" fontId="0" fillId="13" borderId="0" xfId="0" applyFill="1"/>
    <xf numFmtId="0" fontId="0" fillId="13" borderId="0" xfId="0" applyFill="1" applyAlignment="1">
      <alignment horizontal="left"/>
    </xf>
    <xf numFmtId="0" fontId="0" fillId="13" borderId="0" xfId="0" applyNumberFormat="1" applyFill="1"/>
    <xf numFmtId="0" fontId="0" fillId="13" borderId="0" xfId="0" applyFill="1" applyAlignment="1">
      <alignment horizontal="left" indent="1"/>
    </xf>
    <xf numFmtId="0" fontId="0" fillId="12" borderId="0" xfId="0" applyFill="1"/>
    <xf numFmtId="0" fontId="0" fillId="12" borderId="0" xfId="0" applyFill="1" applyAlignment="1">
      <alignment horizontal="left"/>
    </xf>
    <xf numFmtId="0" fontId="0" fillId="12" borderId="0" xfId="0" applyNumberFormat="1" applyFill="1"/>
    <xf numFmtId="0" fontId="0" fillId="14" borderId="0" xfId="0" applyNumberFormat="1" applyFill="1"/>
    <xf numFmtId="0" fontId="0" fillId="14" borderId="0" xfId="0" applyFill="1" applyAlignment="1">
      <alignment horizontal="left"/>
    </xf>
    <xf numFmtId="2" fontId="0" fillId="15" borderId="0" xfId="0" applyNumberFormat="1" applyFill="1"/>
    <xf numFmtId="0" fontId="0" fillId="15" borderId="0" xfId="0" applyFill="1" applyAlignment="1">
      <alignment horizontal="left"/>
    </xf>
    <xf numFmtId="2" fontId="0" fillId="12" borderId="0" xfId="0" applyNumberFormat="1" applyFill="1"/>
    <xf numFmtId="0" fontId="0" fillId="10" borderId="0" xfId="0" applyFill="1"/>
    <xf numFmtId="0" fontId="6" fillId="0" borderId="11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0" fillId="14" borderId="0" xfId="0" applyFill="1" applyAlignment="1">
      <alignment horizontal="left" indent="1"/>
    </xf>
  </cellXfs>
  <cellStyles count="2">
    <cellStyle name="Comma" xfId="1" builtinId="3"/>
    <cellStyle name="Normal" xfId="0" builtinId="0"/>
  </cellStyles>
  <dxfs count="1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0.89996032593768116"/>
        <name val="Arial Rounded MT Bold"/>
        <charset val="134"/>
        <scheme val="none"/>
      </font>
      <numFmt numFmtId="0" formatCode="General"/>
      <fill>
        <patternFill patternType="solid">
          <fgColor indexed="64"/>
          <bgColor theme="9" tint="0.39994506668294322"/>
        </patternFill>
      </fill>
    </dxf>
    <dxf>
      <font>
        <strike val="0"/>
        <u val="none"/>
        <sz val="12"/>
        <color theme="2" tint="-0.89996032593768116"/>
        <name val="Arial Rounded MT Bold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0.89996032593768116"/>
        <name val="Arial Rounded MT Bold"/>
        <charset val="134"/>
        <scheme val="none"/>
      </font>
      <numFmt numFmtId="0" formatCode="General"/>
      <fill>
        <patternFill patternType="solid">
          <fgColor indexed="64"/>
          <bgColor theme="9" tint="0.39994506668294322"/>
        </patternFill>
      </fill>
    </dxf>
    <dxf>
      <font>
        <strike val="0"/>
        <u val="none"/>
        <sz val="12"/>
        <color theme="2" tint="-0.89996032593768116"/>
        <name val="Arial Rounded MT Bold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0.89996032593768116"/>
        <name val="Arial Rounded MT Bold"/>
        <charset val="134"/>
        <scheme val="none"/>
      </font>
      <numFmt numFmtId="0" formatCode="General"/>
      <fill>
        <patternFill patternType="solid">
          <fgColor indexed="64"/>
          <bgColor theme="9" tint="0.39994506668294322"/>
        </patternFill>
      </fill>
    </dxf>
    <dxf>
      <font>
        <strike val="0"/>
        <u val="none"/>
        <sz val="12"/>
        <color theme="2" tint="-0.89996032593768116"/>
        <name val="Arial Rounded MT Bold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0.89996032593768116"/>
        <name val="Arial Rounded MT Bold"/>
        <charset val="134"/>
        <scheme val="none"/>
      </font>
      <fill>
        <patternFill patternType="solid">
          <fgColor indexed="64"/>
          <bgColor theme="9" tint="0.39994506668294322"/>
        </patternFill>
      </fill>
    </dxf>
    <dxf>
      <font>
        <strike val="0"/>
        <u val="none"/>
        <sz val="12"/>
        <color theme="2" tint="-0.89996032593768116"/>
        <name val="Arial Rounded MT Bold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0.89996032593768116"/>
        <name val="Arial Rounded MT Bold"/>
        <charset val="134"/>
        <scheme val="none"/>
      </font>
      <fill>
        <patternFill patternType="solid">
          <fgColor indexed="64"/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0.89996032593768116"/>
        <name val="Arial Rounded MT Bold"/>
        <charset val="134"/>
        <scheme val="none"/>
      </font>
      <fill>
        <patternFill patternType="solid">
          <fgColor indexed="64"/>
          <bgColor theme="9" tint="0.39994506668294322"/>
        </patternFill>
      </fill>
    </dxf>
    <dxf>
      <font>
        <strike val="0"/>
        <u val="none"/>
        <sz val="12"/>
        <color theme="2" tint="-0.89996032593768116"/>
        <name val="Arial Rounded MT Bold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0.89996032593768116"/>
        <name val="Arial Rounded MT Bold"/>
        <charset val="134"/>
        <scheme val="none"/>
      </font>
      <fill>
        <patternFill patternType="solid">
          <fgColor indexed="64"/>
          <bgColor theme="9" tint="0.39994506668294322"/>
        </patternFill>
      </fill>
    </dxf>
    <dxf>
      <font>
        <strike val="0"/>
        <u val="none"/>
        <sz val="12"/>
        <color theme="2" tint="-0.89996032593768116"/>
        <name val="Arial Rounded MT Bold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0.89996032593768116"/>
        <name val="Arial Rounded MT Bold"/>
        <charset val="134"/>
        <scheme val="none"/>
      </font>
      <fill>
        <patternFill patternType="solid">
          <fgColor indexed="64"/>
          <bgColor theme="9" tint="0.39994506668294322"/>
        </patternFill>
      </fill>
    </dxf>
    <dxf>
      <font>
        <strike val="0"/>
        <u val="none"/>
        <sz val="12"/>
        <color theme="2" tint="-0.89996032593768116"/>
        <name val="Arial Rounded MT Bold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0.89996032593768116"/>
        <name val="Arial Rounded MT Bold"/>
        <charset val="134"/>
        <scheme val="none"/>
      </font>
      <fill>
        <patternFill patternType="solid">
          <fgColor indexed="64"/>
          <bgColor theme="9" tint="0.39994506668294322"/>
        </patternFill>
      </fill>
    </dxf>
    <dxf>
      <font>
        <strike val="0"/>
        <u val="none"/>
        <sz val="12"/>
        <color theme="2" tint="-0.89996032593768116"/>
        <name val="Arial Rounded MT Bold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0.89996032593768116"/>
        <name val="Arial Rounded MT Bold"/>
        <charset val="134"/>
        <scheme val="none"/>
      </font>
      <fill>
        <patternFill patternType="solid">
          <fgColor indexed="64"/>
          <bgColor theme="9" tint="0.39994506668294322"/>
        </patternFill>
      </fill>
    </dxf>
    <dxf>
      <font>
        <strike val="0"/>
        <u val="none"/>
        <sz val="12"/>
        <color theme="2" tint="-0.89996032593768116"/>
        <name val="Arial Rounded MT Bold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font>
        <b val="0"/>
        <i val="0"/>
        <strike val="0"/>
        <u val="none"/>
        <sz val="12"/>
        <color theme="2" tint="-0.89996032593768116"/>
        <name val="Arial Rounded MT Bold"/>
        <family val="2"/>
        <scheme val="none"/>
      </font>
      <fill>
        <patternFill patternType="solid">
          <bgColor theme="9" tint="0.39994506668294322"/>
        </patternFill>
      </fill>
    </dxf>
    <dxf>
      <numFmt numFmtId="2" formatCode="0.00"/>
    </dxf>
    <dxf>
      <numFmt numFmtId="2" formatCode="0.00"/>
    </dxf>
    <dxf>
      <fill>
        <patternFill patternType="solid">
          <bgColor theme="5" tint="0.39994506668294322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solid">
          <bgColor theme="9" tint="0.39994506668294322"/>
        </patternFill>
      </fill>
    </dxf>
    <dxf>
      <fill>
        <patternFill patternType="solid">
          <bgColor theme="9" tint="0.39994506668294322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numFmt numFmtId="2" formatCode="0.00"/>
    </dxf>
    <dxf>
      <numFmt numFmtId="2" formatCode="0.00"/>
    </dxf>
    <dxf>
      <numFmt numFmtId="2" formatCode="0.00"/>
    </dxf>
    <dxf>
      <fill>
        <patternFill patternType="solid">
          <bgColor theme="4" tint="-0.249977111117893"/>
        </patternFill>
      </fill>
    </dxf>
    <dxf>
      <fill>
        <patternFill patternType="solid">
          <bgColor theme="4" tint="-0.249977111117893"/>
        </patternFill>
      </fill>
    </dxf>
    <dxf>
      <fill>
        <patternFill patternType="solid">
          <bgColor theme="4" tint="-0.24997711111789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ont>
        <b val="0"/>
        <strike val="0"/>
        <u val="none"/>
        <sz val="18"/>
        <color theme="1"/>
      </font>
      <fill>
        <patternFill patternType="solid">
          <bgColor theme="0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strike val="0"/>
        <u val="none"/>
        <sz val="18"/>
        <color theme="1"/>
      </font>
      <fill>
        <patternFill patternType="solid">
          <bgColor theme="0"/>
        </patternFill>
      </fill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microsoft.com/office/2007/relationships/slicerCache" Target="slicerCaches/slicerCache4.xml"/><Relationship Id="rId42" Type="http://schemas.openxmlformats.org/officeDocument/2006/relationships/customXml" Target="../customXml/item2.xml"/><Relationship Id="rId47" Type="http://schemas.openxmlformats.org/officeDocument/2006/relationships/customXml" Target="../customXml/item7.xml"/><Relationship Id="rId50" Type="http://schemas.openxmlformats.org/officeDocument/2006/relationships/customXml" Target="../customXml/item10.xml"/><Relationship Id="rId55" Type="http://schemas.openxmlformats.org/officeDocument/2006/relationships/customXml" Target="../customXml/item15.xml"/><Relationship Id="rId63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5.xml"/><Relationship Id="rId41" Type="http://schemas.openxmlformats.org/officeDocument/2006/relationships/customXml" Target="../customXml/item1.xml"/><Relationship Id="rId54" Type="http://schemas.openxmlformats.org/officeDocument/2006/relationships/customXml" Target="../customXml/item14.xml"/><Relationship Id="rId62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45" Type="http://schemas.openxmlformats.org/officeDocument/2006/relationships/customXml" Target="../customXml/item5.xml"/><Relationship Id="rId53" Type="http://schemas.openxmlformats.org/officeDocument/2006/relationships/customXml" Target="../customXml/item13.xml"/><Relationship Id="rId58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36" Type="http://schemas.openxmlformats.org/officeDocument/2006/relationships/theme" Target="theme/theme1.xml"/><Relationship Id="rId49" Type="http://schemas.openxmlformats.org/officeDocument/2006/relationships/customXml" Target="../customXml/item9.xml"/><Relationship Id="rId57" Type="http://schemas.openxmlformats.org/officeDocument/2006/relationships/customXml" Target="../customXml/item17.xml"/><Relationship Id="rId61" Type="http://schemas.openxmlformats.org/officeDocument/2006/relationships/customXml" Target="../customXml/item2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.xml"/><Relationship Id="rId44" Type="http://schemas.openxmlformats.org/officeDocument/2006/relationships/customXml" Target="../customXml/item4.xml"/><Relationship Id="rId52" Type="http://schemas.openxmlformats.org/officeDocument/2006/relationships/customXml" Target="../customXml/item12.xml"/><Relationship Id="rId60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pivotCacheDefinition" Target="pivotCache/pivotCacheDefinition6.xml"/><Relationship Id="rId35" Type="http://schemas.microsoft.com/office/2007/relationships/slicerCache" Target="slicerCaches/slicerCache5.xml"/><Relationship Id="rId43" Type="http://schemas.openxmlformats.org/officeDocument/2006/relationships/customXml" Target="../customXml/item3.xml"/><Relationship Id="rId48" Type="http://schemas.openxmlformats.org/officeDocument/2006/relationships/customXml" Target="../customXml/item8.xml"/><Relationship Id="rId56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microsoft.com/office/2007/relationships/slicerCache" Target="slicerCaches/slicerCache3.xml"/><Relationship Id="rId38" Type="http://schemas.openxmlformats.org/officeDocument/2006/relationships/styles" Target="styles.xml"/><Relationship Id="rId46" Type="http://schemas.openxmlformats.org/officeDocument/2006/relationships/customXml" Target="../customXml/item6.xml"/><Relationship Id="rId59" Type="http://schemas.openxmlformats.org/officeDocument/2006/relationships/customXml" Target="../customXml/item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[excel etp project vba POWERPIVOT (2) (2).xlsm]2)CHANGE IN SEX RATIO!change_in_sex_ratio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spc="100" baseline="0">
                <a:solidFill>
                  <a:schemeClr val="accent6">
                    <a:lumMod val="7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800" u="sng" baseline="0">
                <a:solidFill>
                  <a:schemeClr val="accent6">
                    <a:lumMod val="60000"/>
                    <a:lumOff val="40000"/>
                  </a:schemeClr>
                </a:solidFill>
                <a:latin typeface="AR CENA" panose="02000000000000000000" pitchFamily="2" charset="0"/>
              </a:rPr>
              <a:t>Change in sex ratio between 2001-11</a:t>
            </a:r>
          </a:p>
          <a:p>
            <a:pPr>
              <a:defRPr>
                <a:solidFill>
                  <a:schemeClr val="accent6">
                    <a:lumMod val="75000"/>
                  </a:schemeClr>
                </a:solidFill>
              </a:defRPr>
            </a:pPr>
            <a:endParaRPr lang="en-IN" sz="1800" baseline="0">
              <a:solidFill>
                <a:schemeClr val="accent6">
                  <a:lumMod val="75000"/>
                </a:schemeClr>
              </a:solidFill>
            </a:endParaRPr>
          </a:p>
        </c:rich>
      </c:tx>
      <c:layout>
        <c:manualLayout>
          <c:xMode val="edge"/>
          <c:yMode val="edge"/>
          <c:x val="0.17896034874834599"/>
          <c:y val="1.44425839728803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spc="100" baseline="0">
              <a:solidFill>
                <a:schemeClr val="accent6">
                  <a:lumMod val="7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755424755279901"/>
          <c:y val="0.121314408067413"/>
          <c:w val="0.80540068855029501"/>
          <c:h val="0.771549169194318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'2)CHANGE IN SEX RATIO'!$B$7</c:f>
              <c:strCache>
                <c:ptCount val="1"/>
                <c:pt idx="0">
                  <c:v>Total - 2001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'2)CHANGE IN SEX RATIO'!$A$8:$A$44</c:f>
              <c:strCache>
                <c:ptCount val="36"/>
                <c:pt idx="0">
                  <c:v>NCT of Delhi</c:v>
                </c:pt>
                <c:pt idx="1">
                  <c:v>Arunachal Pradesh</c:v>
                </c:pt>
                <c:pt idx="2">
                  <c:v>Mizoram</c:v>
                </c:pt>
                <c:pt idx="3">
                  <c:v>Chandigarh</c:v>
                </c:pt>
                <c:pt idx="4">
                  <c:v>Puducherry</c:v>
                </c:pt>
                <c:pt idx="5">
                  <c:v>Nagaland</c:v>
                </c:pt>
                <c:pt idx="6">
                  <c:v>A &amp; N Islands</c:v>
                </c:pt>
                <c:pt idx="7">
                  <c:v>Kerala</c:v>
                </c:pt>
                <c:pt idx="8">
                  <c:v>Assam</c:v>
                </c:pt>
                <c:pt idx="9">
                  <c:v>Punjab</c:v>
                </c:pt>
                <c:pt idx="10">
                  <c:v>Haryana</c:v>
                </c:pt>
                <c:pt idx="11">
                  <c:v>Meghalaya</c:v>
                </c:pt>
                <c:pt idx="12">
                  <c:v>West Bengal</c:v>
                </c:pt>
                <c:pt idx="13">
                  <c:v>Sikkim</c:v>
                </c:pt>
                <c:pt idx="14">
                  <c:v>Andhra Pradesh</c:v>
                </c:pt>
                <c:pt idx="15">
                  <c:v>Uttar Pradesh</c:v>
                </c:pt>
                <c:pt idx="16">
                  <c:v>Goa</c:v>
                </c:pt>
                <c:pt idx="17">
                  <c:v>Madhya Pradesh</c:v>
                </c:pt>
                <c:pt idx="18">
                  <c:v>Tripura</c:v>
                </c:pt>
                <c:pt idx="19">
                  <c:v>INDIA</c:v>
                </c:pt>
                <c:pt idx="20">
                  <c:v>Tamil Nadu</c:v>
                </c:pt>
                <c:pt idx="21">
                  <c:v>Karnataka</c:v>
                </c:pt>
                <c:pt idx="22">
                  <c:v>Maharashtra</c:v>
                </c:pt>
                <c:pt idx="23">
                  <c:v>Rajasthan</c:v>
                </c:pt>
                <c:pt idx="24">
                  <c:v>Odisha</c:v>
                </c:pt>
                <c:pt idx="25">
                  <c:v>Jharkhand</c:v>
                </c:pt>
                <c:pt idx="26">
                  <c:v>Manipur</c:v>
                </c:pt>
                <c:pt idx="27">
                  <c:v>Himachal Pradesh</c:v>
                </c:pt>
                <c:pt idx="28">
                  <c:v>Chhattisgarh</c:v>
                </c:pt>
                <c:pt idx="29">
                  <c:v>Uttarakhand</c:v>
                </c:pt>
                <c:pt idx="30">
                  <c:v>Gujarat</c:v>
                </c:pt>
                <c:pt idx="31">
                  <c:v>Bihar</c:v>
                </c:pt>
                <c:pt idx="32">
                  <c:v>Lakshadweep</c:v>
                </c:pt>
                <c:pt idx="33">
                  <c:v>Jammu &amp; Kashmir</c:v>
                </c:pt>
                <c:pt idx="34">
                  <c:v>D &amp; N Haveli</c:v>
                </c:pt>
                <c:pt idx="35">
                  <c:v>Daman &amp; Diu</c:v>
                </c:pt>
              </c:strCache>
            </c:strRef>
          </c:cat>
          <c:val>
            <c:numRef>
              <c:f>'2)CHANGE IN SEX RATIO'!$B$8:$B$44</c:f>
              <c:numCache>
                <c:formatCode>General</c:formatCode>
                <c:ptCount val="36"/>
                <c:pt idx="0">
                  <c:v>821</c:v>
                </c:pt>
                <c:pt idx="1">
                  <c:v>893</c:v>
                </c:pt>
                <c:pt idx="2">
                  <c:v>935</c:v>
                </c:pt>
                <c:pt idx="3">
                  <c:v>777</c:v>
                </c:pt>
                <c:pt idx="4">
                  <c:v>1001</c:v>
                </c:pt>
                <c:pt idx="5">
                  <c:v>900</c:v>
                </c:pt>
                <c:pt idx="6">
                  <c:v>846</c:v>
                </c:pt>
                <c:pt idx="7">
                  <c:v>1058</c:v>
                </c:pt>
                <c:pt idx="8">
                  <c:v>935</c:v>
                </c:pt>
                <c:pt idx="9">
                  <c:v>876</c:v>
                </c:pt>
                <c:pt idx="10">
                  <c:v>861</c:v>
                </c:pt>
                <c:pt idx="11">
                  <c:v>972</c:v>
                </c:pt>
                <c:pt idx="12">
                  <c:v>934</c:v>
                </c:pt>
                <c:pt idx="13">
                  <c:v>875</c:v>
                </c:pt>
                <c:pt idx="14">
                  <c:v>978</c:v>
                </c:pt>
                <c:pt idx="15">
                  <c:v>898</c:v>
                </c:pt>
                <c:pt idx="16">
                  <c:v>961</c:v>
                </c:pt>
                <c:pt idx="17">
                  <c:v>919</c:v>
                </c:pt>
                <c:pt idx="18">
                  <c:v>948</c:v>
                </c:pt>
                <c:pt idx="19">
                  <c:v>933</c:v>
                </c:pt>
                <c:pt idx="20">
                  <c:v>987</c:v>
                </c:pt>
                <c:pt idx="21">
                  <c:v>965</c:v>
                </c:pt>
                <c:pt idx="22">
                  <c:v>922</c:v>
                </c:pt>
                <c:pt idx="23">
                  <c:v>921</c:v>
                </c:pt>
                <c:pt idx="24">
                  <c:v>972</c:v>
                </c:pt>
                <c:pt idx="25">
                  <c:v>941</c:v>
                </c:pt>
                <c:pt idx="26">
                  <c:v>978</c:v>
                </c:pt>
                <c:pt idx="27">
                  <c:v>968</c:v>
                </c:pt>
                <c:pt idx="28">
                  <c:v>989</c:v>
                </c:pt>
                <c:pt idx="29">
                  <c:v>962</c:v>
                </c:pt>
                <c:pt idx="30">
                  <c:v>920</c:v>
                </c:pt>
                <c:pt idx="31">
                  <c:v>919</c:v>
                </c:pt>
                <c:pt idx="32">
                  <c:v>948</c:v>
                </c:pt>
                <c:pt idx="33">
                  <c:v>892</c:v>
                </c:pt>
                <c:pt idx="34">
                  <c:v>812</c:v>
                </c:pt>
                <c:pt idx="35">
                  <c:v>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B5-4661-965D-2E93E00CC07E}"/>
            </c:ext>
          </c:extLst>
        </c:ser>
        <c:ser>
          <c:idx val="1"/>
          <c:order val="1"/>
          <c:tx>
            <c:strRef>
              <c:f>'2)CHANGE IN SEX RATIO'!$C$7</c:f>
              <c:strCache>
                <c:ptCount val="1"/>
                <c:pt idx="0">
                  <c:v>Total - 2011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'2)CHANGE IN SEX RATIO'!$A$8:$A$44</c:f>
              <c:strCache>
                <c:ptCount val="36"/>
                <c:pt idx="0">
                  <c:v>NCT of Delhi</c:v>
                </c:pt>
                <c:pt idx="1">
                  <c:v>Arunachal Pradesh</c:v>
                </c:pt>
                <c:pt idx="2">
                  <c:v>Mizoram</c:v>
                </c:pt>
                <c:pt idx="3">
                  <c:v>Chandigarh</c:v>
                </c:pt>
                <c:pt idx="4">
                  <c:v>Puducherry</c:v>
                </c:pt>
                <c:pt idx="5">
                  <c:v>Nagaland</c:v>
                </c:pt>
                <c:pt idx="6">
                  <c:v>A &amp; N Islands</c:v>
                </c:pt>
                <c:pt idx="7">
                  <c:v>Kerala</c:v>
                </c:pt>
                <c:pt idx="8">
                  <c:v>Assam</c:v>
                </c:pt>
                <c:pt idx="9">
                  <c:v>Punjab</c:v>
                </c:pt>
                <c:pt idx="10">
                  <c:v>Haryana</c:v>
                </c:pt>
                <c:pt idx="11">
                  <c:v>Meghalaya</c:v>
                </c:pt>
                <c:pt idx="12">
                  <c:v>West Bengal</c:v>
                </c:pt>
                <c:pt idx="13">
                  <c:v>Sikkim</c:v>
                </c:pt>
                <c:pt idx="14">
                  <c:v>Andhra Pradesh</c:v>
                </c:pt>
                <c:pt idx="15">
                  <c:v>Uttar Pradesh</c:v>
                </c:pt>
                <c:pt idx="16">
                  <c:v>Goa</c:v>
                </c:pt>
                <c:pt idx="17">
                  <c:v>Madhya Pradesh</c:v>
                </c:pt>
                <c:pt idx="18">
                  <c:v>Tripura</c:v>
                </c:pt>
                <c:pt idx="19">
                  <c:v>INDIA</c:v>
                </c:pt>
                <c:pt idx="20">
                  <c:v>Tamil Nadu</c:v>
                </c:pt>
                <c:pt idx="21">
                  <c:v>Karnataka</c:v>
                </c:pt>
                <c:pt idx="22">
                  <c:v>Maharashtra</c:v>
                </c:pt>
                <c:pt idx="23">
                  <c:v>Rajasthan</c:v>
                </c:pt>
                <c:pt idx="24">
                  <c:v>Odisha</c:v>
                </c:pt>
                <c:pt idx="25">
                  <c:v>Jharkhand</c:v>
                </c:pt>
                <c:pt idx="26">
                  <c:v>Manipur</c:v>
                </c:pt>
                <c:pt idx="27">
                  <c:v>Himachal Pradesh</c:v>
                </c:pt>
                <c:pt idx="28">
                  <c:v>Chhattisgarh</c:v>
                </c:pt>
                <c:pt idx="29">
                  <c:v>Uttarakhand</c:v>
                </c:pt>
                <c:pt idx="30">
                  <c:v>Gujarat</c:v>
                </c:pt>
                <c:pt idx="31">
                  <c:v>Bihar</c:v>
                </c:pt>
                <c:pt idx="32">
                  <c:v>Lakshadweep</c:v>
                </c:pt>
                <c:pt idx="33">
                  <c:v>Jammu &amp; Kashmir</c:v>
                </c:pt>
                <c:pt idx="34">
                  <c:v>D &amp; N Haveli</c:v>
                </c:pt>
                <c:pt idx="35">
                  <c:v>Daman &amp; Diu</c:v>
                </c:pt>
              </c:strCache>
            </c:strRef>
          </c:cat>
          <c:val>
            <c:numRef>
              <c:f>'2)CHANGE IN SEX RATIO'!$C$8:$C$44</c:f>
              <c:numCache>
                <c:formatCode>General</c:formatCode>
                <c:ptCount val="36"/>
                <c:pt idx="0">
                  <c:v>868</c:v>
                </c:pt>
                <c:pt idx="1">
                  <c:v>938</c:v>
                </c:pt>
                <c:pt idx="2">
                  <c:v>976</c:v>
                </c:pt>
                <c:pt idx="3">
                  <c:v>818</c:v>
                </c:pt>
                <c:pt idx="4">
                  <c:v>1037</c:v>
                </c:pt>
                <c:pt idx="5">
                  <c:v>931</c:v>
                </c:pt>
                <c:pt idx="6">
                  <c:v>876</c:v>
                </c:pt>
                <c:pt idx="7">
                  <c:v>1084</c:v>
                </c:pt>
                <c:pt idx="8">
                  <c:v>958</c:v>
                </c:pt>
                <c:pt idx="9">
                  <c:v>895</c:v>
                </c:pt>
                <c:pt idx="10">
                  <c:v>879</c:v>
                </c:pt>
                <c:pt idx="11">
                  <c:v>989</c:v>
                </c:pt>
                <c:pt idx="12">
                  <c:v>950</c:v>
                </c:pt>
                <c:pt idx="13">
                  <c:v>890</c:v>
                </c:pt>
                <c:pt idx="14">
                  <c:v>993</c:v>
                </c:pt>
                <c:pt idx="15">
                  <c:v>912</c:v>
                </c:pt>
                <c:pt idx="16">
                  <c:v>973</c:v>
                </c:pt>
                <c:pt idx="17">
                  <c:v>931</c:v>
                </c:pt>
                <c:pt idx="18">
                  <c:v>960</c:v>
                </c:pt>
                <c:pt idx="19">
                  <c:v>943</c:v>
                </c:pt>
                <c:pt idx="20">
                  <c:v>996</c:v>
                </c:pt>
                <c:pt idx="21">
                  <c:v>973</c:v>
                </c:pt>
                <c:pt idx="22">
                  <c:v>929</c:v>
                </c:pt>
                <c:pt idx="23">
                  <c:v>928</c:v>
                </c:pt>
                <c:pt idx="24">
                  <c:v>979</c:v>
                </c:pt>
                <c:pt idx="25">
                  <c:v>948</c:v>
                </c:pt>
                <c:pt idx="26">
                  <c:v>985</c:v>
                </c:pt>
                <c:pt idx="27">
                  <c:v>972</c:v>
                </c:pt>
                <c:pt idx="28">
                  <c:v>991</c:v>
                </c:pt>
                <c:pt idx="29">
                  <c:v>963</c:v>
                </c:pt>
                <c:pt idx="30">
                  <c:v>919</c:v>
                </c:pt>
                <c:pt idx="31">
                  <c:v>918</c:v>
                </c:pt>
                <c:pt idx="32">
                  <c:v>946</c:v>
                </c:pt>
                <c:pt idx="33">
                  <c:v>889</c:v>
                </c:pt>
                <c:pt idx="34">
                  <c:v>774</c:v>
                </c:pt>
                <c:pt idx="35">
                  <c:v>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B5-4661-965D-2E93E00CC07E}"/>
            </c:ext>
          </c:extLst>
        </c:ser>
        <c:ser>
          <c:idx val="2"/>
          <c:order val="2"/>
          <c:tx>
            <c:strRef>
              <c:f>'2)CHANGE IN SEX RATIO'!$D$7</c:f>
              <c:strCache>
                <c:ptCount val="1"/>
                <c:pt idx="0">
                  <c:v>2011-2001 difference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'2)CHANGE IN SEX RATIO'!$A$8:$A$44</c:f>
              <c:strCache>
                <c:ptCount val="36"/>
                <c:pt idx="0">
                  <c:v>NCT of Delhi</c:v>
                </c:pt>
                <c:pt idx="1">
                  <c:v>Arunachal Pradesh</c:v>
                </c:pt>
                <c:pt idx="2">
                  <c:v>Mizoram</c:v>
                </c:pt>
                <c:pt idx="3">
                  <c:v>Chandigarh</c:v>
                </c:pt>
                <c:pt idx="4">
                  <c:v>Puducherry</c:v>
                </c:pt>
                <c:pt idx="5">
                  <c:v>Nagaland</c:v>
                </c:pt>
                <c:pt idx="6">
                  <c:v>A &amp; N Islands</c:v>
                </c:pt>
                <c:pt idx="7">
                  <c:v>Kerala</c:v>
                </c:pt>
                <c:pt idx="8">
                  <c:v>Assam</c:v>
                </c:pt>
                <c:pt idx="9">
                  <c:v>Punjab</c:v>
                </c:pt>
                <c:pt idx="10">
                  <c:v>Haryana</c:v>
                </c:pt>
                <c:pt idx="11">
                  <c:v>Meghalaya</c:v>
                </c:pt>
                <c:pt idx="12">
                  <c:v>West Bengal</c:v>
                </c:pt>
                <c:pt idx="13">
                  <c:v>Sikkim</c:v>
                </c:pt>
                <c:pt idx="14">
                  <c:v>Andhra Pradesh</c:v>
                </c:pt>
                <c:pt idx="15">
                  <c:v>Uttar Pradesh</c:v>
                </c:pt>
                <c:pt idx="16">
                  <c:v>Goa</c:v>
                </c:pt>
                <c:pt idx="17">
                  <c:v>Madhya Pradesh</c:v>
                </c:pt>
                <c:pt idx="18">
                  <c:v>Tripura</c:v>
                </c:pt>
                <c:pt idx="19">
                  <c:v>INDIA</c:v>
                </c:pt>
                <c:pt idx="20">
                  <c:v>Tamil Nadu</c:v>
                </c:pt>
                <c:pt idx="21">
                  <c:v>Karnataka</c:v>
                </c:pt>
                <c:pt idx="22">
                  <c:v>Maharashtra</c:v>
                </c:pt>
                <c:pt idx="23">
                  <c:v>Rajasthan</c:v>
                </c:pt>
                <c:pt idx="24">
                  <c:v>Odisha</c:v>
                </c:pt>
                <c:pt idx="25">
                  <c:v>Jharkhand</c:v>
                </c:pt>
                <c:pt idx="26">
                  <c:v>Manipur</c:v>
                </c:pt>
                <c:pt idx="27">
                  <c:v>Himachal Pradesh</c:v>
                </c:pt>
                <c:pt idx="28">
                  <c:v>Chhattisgarh</c:v>
                </c:pt>
                <c:pt idx="29">
                  <c:v>Uttarakhand</c:v>
                </c:pt>
                <c:pt idx="30">
                  <c:v>Gujarat</c:v>
                </c:pt>
                <c:pt idx="31">
                  <c:v>Bihar</c:v>
                </c:pt>
                <c:pt idx="32">
                  <c:v>Lakshadweep</c:v>
                </c:pt>
                <c:pt idx="33">
                  <c:v>Jammu &amp; Kashmir</c:v>
                </c:pt>
                <c:pt idx="34">
                  <c:v>D &amp; N Haveli</c:v>
                </c:pt>
                <c:pt idx="35">
                  <c:v>Daman &amp; Diu</c:v>
                </c:pt>
              </c:strCache>
            </c:strRef>
          </c:cat>
          <c:val>
            <c:numRef>
              <c:f>'2)CHANGE IN SEX RATIO'!$D$8:$D$44</c:f>
              <c:numCache>
                <c:formatCode>General</c:formatCode>
                <c:ptCount val="36"/>
                <c:pt idx="0">
                  <c:v>47</c:v>
                </c:pt>
                <c:pt idx="1">
                  <c:v>45</c:v>
                </c:pt>
                <c:pt idx="2">
                  <c:v>41</c:v>
                </c:pt>
                <c:pt idx="3">
                  <c:v>41</c:v>
                </c:pt>
                <c:pt idx="4">
                  <c:v>36</c:v>
                </c:pt>
                <c:pt idx="5">
                  <c:v>31</c:v>
                </c:pt>
                <c:pt idx="6">
                  <c:v>30</c:v>
                </c:pt>
                <c:pt idx="7">
                  <c:v>26</c:v>
                </c:pt>
                <c:pt idx="8">
                  <c:v>23</c:v>
                </c:pt>
                <c:pt idx="9">
                  <c:v>19</c:v>
                </c:pt>
                <c:pt idx="10">
                  <c:v>18</c:v>
                </c:pt>
                <c:pt idx="11">
                  <c:v>17</c:v>
                </c:pt>
                <c:pt idx="12">
                  <c:v>16</c:v>
                </c:pt>
                <c:pt idx="13">
                  <c:v>15</c:v>
                </c:pt>
                <c:pt idx="14">
                  <c:v>15</c:v>
                </c:pt>
                <c:pt idx="15">
                  <c:v>14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10</c:v>
                </c:pt>
                <c:pt idx="20">
                  <c:v>9</c:v>
                </c:pt>
                <c:pt idx="21">
                  <c:v>8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4</c:v>
                </c:pt>
                <c:pt idx="28">
                  <c:v>2</c:v>
                </c:pt>
                <c:pt idx="29">
                  <c:v>1</c:v>
                </c:pt>
                <c:pt idx="30">
                  <c:v>-1</c:v>
                </c:pt>
                <c:pt idx="31">
                  <c:v>-1</c:v>
                </c:pt>
                <c:pt idx="32">
                  <c:v>-2</c:v>
                </c:pt>
                <c:pt idx="33">
                  <c:v>-3</c:v>
                </c:pt>
                <c:pt idx="34">
                  <c:v>-38</c:v>
                </c:pt>
                <c:pt idx="35">
                  <c:v>-92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B5-4661-965D-2E93E00CC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axId val="-1113162832"/>
        <c:axId val="-1113166640"/>
      </c:barChart>
      <c:catAx>
        <c:axId val="-1113162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4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Aharoni" panose="02010803020104030203" pitchFamily="2" charset="-79"/>
                <a:ea typeface="+mn-ea"/>
                <a:cs typeface="+mn-cs"/>
              </a:defRPr>
            </a:pPr>
            <a:endParaRPr lang="en-US"/>
          </a:p>
        </c:txPr>
        <c:crossAx val="-1113166640"/>
        <c:crosses val="autoZero"/>
        <c:auto val="1"/>
        <c:lblAlgn val="ctr"/>
        <c:lblOffset val="100"/>
        <c:noMultiLvlLbl val="0"/>
      </c:catAx>
      <c:valAx>
        <c:axId val="-11131666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316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1362555106031095E-3"/>
          <c:y val="0.204148447932017"/>
          <c:w val="0.14026964333458999"/>
          <c:h val="0.194942853547719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etp project vba POWERPIVOT (2) (2).xlsm]3)SUB CATEGORY WISE TOTAL!abv_avg_pivot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600">
                <a:solidFill>
                  <a:srgbClr val="92D050"/>
                </a:solidFill>
                <a:latin typeface="AR CENA" panose="02000000000000000000" pitchFamily="2" charset="0"/>
              </a:rPr>
              <a:t>      FEMALE</a:t>
            </a:r>
            <a:r>
              <a:rPr lang="en-IN" sz="1600" baseline="0">
                <a:solidFill>
                  <a:srgbClr val="92D050"/>
                </a:solidFill>
                <a:latin typeface="AR CENA" panose="02000000000000000000" pitchFamily="2" charset="0"/>
              </a:rPr>
              <a:t> PER 1000 MALE IN EACH SUBCATEGORY  </a:t>
            </a:r>
          </a:p>
        </c:rich>
      </c:tx>
      <c:layout>
        <c:manualLayout>
          <c:xMode val="edge"/>
          <c:yMode val="edge"/>
          <c:x val="0.14111942797273799"/>
          <c:y val="0.809467961803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7133815063240495E-2"/>
          <c:y val="0.12217810380540001"/>
          <c:w val="0.79176479483274498"/>
          <c:h val="0.421097794193216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'3)SUB CATEGORY WISE TOTAL'!$B$11</c:f>
              <c:strCache>
                <c:ptCount val="1"/>
                <c:pt idx="0">
                  <c:v>Total - 2011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'3)SUB CATEGORY WISE TOTAL'!$A$12:$A$48</c:f>
              <c:strCache>
                <c:ptCount val="36"/>
                <c:pt idx="0">
                  <c:v>A &amp; N Islands</c:v>
                </c:pt>
                <c:pt idx="1">
                  <c:v>Andhra Pradesh</c:v>
                </c:pt>
                <c:pt idx="2">
                  <c:v>Arunachal Pradesh</c:v>
                </c:pt>
                <c:pt idx="3">
                  <c:v>Assam</c:v>
                </c:pt>
                <c:pt idx="4">
                  <c:v>Bihar</c:v>
                </c:pt>
                <c:pt idx="5">
                  <c:v>Chandigarh</c:v>
                </c:pt>
                <c:pt idx="6">
                  <c:v>Chhattisgarh</c:v>
                </c:pt>
                <c:pt idx="7">
                  <c:v>D &amp; N Haveli</c:v>
                </c:pt>
                <c:pt idx="8">
                  <c:v>Daman &amp; Diu</c:v>
                </c:pt>
                <c:pt idx="9">
                  <c:v>Goa</c:v>
                </c:pt>
                <c:pt idx="10">
                  <c:v>Gujarat</c:v>
                </c:pt>
                <c:pt idx="11">
                  <c:v>Haryana</c:v>
                </c:pt>
                <c:pt idx="12">
                  <c:v>Himachal Pradesh</c:v>
                </c:pt>
                <c:pt idx="13">
                  <c:v>INDIA</c:v>
                </c:pt>
                <c:pt idx="14">
                  <c:v>Jammu &amp; Kashmir</c:v>
                </c:pt>
                <c:pt idx="15">
                  <c:v>Jharkhand</c:v>
                </c:pt>
                <c:pt idx="16">
                  <c:v>Karnataka</c:v>
                </c:pt>
                <c:pt idx="17">
                  <c:v>Kerala</c:v>
                </c:pt>
                <c:pt idx="18">
                  <c:v>Lakshadweep</c:v>
                </c:pt>
                <c:pt idx="19">
                  <c:v>Madhya Pradesh</c:v>
                </c:pt>
                <c:pt idx="20">
                  <c:v>Maharashtra</c:v>
                </c:pt>
                <c:pt idx="21">
                  <c:v>Manipur</c:v>
                </c:pt>
                <c:pt idx="22">
                  <c:v>Meghalaya</c:v>
                </c:pt>
                <c:pt idx="23">
                  <c:v>Mizoram</c:v>
                </c:pt>
                <c:pt idx="24">
                  <c:v>Nagaland</c:v>
                </c:pt>
                <c:pt idx="25">
                  <c:v>NCT of Delhi</c:v>
                </c:pt>
                <c:pt idx="26">
                  <c:v>Odisha</c:v>
                </c:pt>
                <c:pt idx="27">
                  <c:v>Puducherry</c:v>
                </c:pt>
                <c:pt idx="28">
                  <c:v>Punjab</c:v>
                </c:pt>
                <c:pt idx="29">
                  <c:v>Rajasthan</c:v>
                </c:pt>
                <c:pt idx="30">
                  <c:v>Sikkim</c:v>
                </c:pt>
                <c:pt idx="31">
                  <c:v>Tamil Nadu</c:v>
                </c:pt>
                <c:pt idx="32">
                  <c:v>Tripura</c:v>
                </c:pt>
                <c:pt idx="33">
                  <c:v>Uttar Pradesh</c:v>
                </c:pt>
                <c:pt idx="34">
                  <c:v>Uttarakhand</c:v>
                </c:pt>
                <c:pt idx="35">
                  <c:v>West Bengal</c:v>
                </c:pt>
              </c:strCache>
            </c:strRef>
          </c:cat>
          <c:val>
            <c:numRef>
              <c:f>'3)SUB CATEGORY WISE TOTAL'!$B$12:$B$48</c:f>
              <c:numCache>
                <c:formatCode>General</c:formatCode>
                <c:ptCount val="36"/>
                <c:pt idx="0">
                  <c:v>876</c:v>
                </c:pt>
                <c:pt idx="1">
                  <c:v>993</c:v>
                </c:pt>
                <c:pt idx="2">
                  <c:v>938</c:v>
                </c:pt>
                <c:pt idx="3">
                  <c:v>958</c:v>
                </c:pt>
                <c:pt idx="4">
                  <c:v>918</c:v>
                </c:pt>
                <c:pt idx="5">
                  <c:v>818</c:v>
                </c:pt>
                <c:pt idx="6">
                  <c:v>991</c:v>
                </c:pt>
                <c:pt idx="7">
                  <c:v>774</c:v>
                </c:pt>
                <c:pt idx="8">
                  <c:v>618</c:v>
                </c:pt>
                <c:pt idx="9">
                  <c:v>973</c:v>
                </c:pt>
                <c:pt idx="10">
                  <c:v>919</c:v>
                </c:pt>
                <c:pt idx="11">
                  <c:v>879</c:v>
                </c:pt>
                <c:pt idx="12">
                  <c:v>972</c:v>
                </c:pt>
                <c:pt idx="13">
                  <c:v>943</c:v>
                </c:pt>
                <c:pt idx="14">
                  <c:v>889</c:v>
                </c:pt>
                <c:pt idx="15">
                  <c:v>948</c:v>
                </c:pt>
                <c:pt idx="16">
                  <c:v>973</c:v>
                </c:pt>
                <c:pt idx="17">
                  <c:v>1084</c:v>
                </c:pt>
                <c:pt idx="18">
                  <c:v>946</c:v>
                </c:pt>
                <c:pt idx="19">
                  <c:v>931</c:v>
                </c:pt>
                <c:pt idx="20">
                  <c:v>929</c:v>
                </c:pt>
                <c:pt idx="21">
                  <c:v>985</c:v>
                </c:pt>
                <c:pt idx="22">
                  <c:v>989</c:v>
                </c:pt>
                <c:pt idx="23">
                  <c:v>976</c:v>
                </c:pt>
                <c:pt idx="24">
                  <c:v>931</c:v>
                </c:pt>
                <c:pt idx="25">
                  <c:v>868</c:v>
                </c:pt>
                <c:pt idx="26">
                  <c:v>979</c:v>
                </c:pt>
                <c:pt idx="27">
                  <c:v>1037</c:v>
                </c:pt>
                <c:pt idx="28">
                  <c:v>895</c:v>
                </c:pt>
                <c:pt idx="29">
                  <c:v>928</c:v>
                </c:pt>
                <c:pt idx="30">
                  <c:v>890</c:v>
                </c:pt>
                <c:pt idx="31">
                  <c:v>996</c:v>
                </c:pt>
                <c:pt idx="32">
                  <c:v>960</c:v>
                </c:pt>
                <c:pt idx="33">
                  <c:v>912</c:v>
                </c:pt>
                <c:pt idx="34">
                  <c:v>963</c:v>
                </c:pt>
                <c:pt idx="35">
                  <c:v>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B6-49CF-BC37-C727B59CAA06}"/>
            </c:ext>
          </c:extLst>
        </c:ser>
        <c:ser>
          <c:idx val="1"/>
          <c:order val="1"/>
          <c:tx>
            <c:strRef>
              <c:f>'3)SUB CATEGORY WISE TOTAL'!$C$11</c:f>
              <c:strCache>
                <c:ptCount val="1"/>
                <c:pt idx="0">
                  <c:v>Total - 2001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'3)SUB CATEGORY WISE TOTAL'!$A$12:$A$48</c:f>
              <c:strCache>
                <c:ptCount val="36"/>
                <c:pt idx="0">
                  <c:v>A &amp; N Islands</c:v>
                </c:pt>
                <c:pt idx="1">
                  <c:v>Andhra Pradesh</c:v>
                </c:pt>
                <c:pt idx="2">
                  <c:v>Arunachal Pradesh</c:v>
                </c:pt>
                <c:pt idx="3">
                  <c:v>Assam</c:v>
                </c:pt>
                <c:pt idx="4">
                  <c:v>Bihar</c:v>
                </c:pt>
                <c:pt idx="5">
                  <c:v>Chandigarh</c:v>
                </c:pt>
                <c:pt idx="6">
                  <c:v>Chhattisgarh</c:v>
                </c:pt>
                <c:pt idx="7">
                  <c:v>D &amp; N Haveli</c:v>
                </c:pt>
                <c:pt idx="8">
                  <c:v>Daman &amp; Diu</c:v>
                </c:pt>
                <c:pt idx="9">
                  <c:v>Goa</c:v>
                </c:pt>
                <c:pt idx="10">
                  <c:v>Gujarat</c:v>
                </c:pt>
                <c:pt idx="11">
                  <c:v>Haryana</c:v>
                </c:pt>
                <c:pt idx="12">
                  <c:v>Himachal Pradesh</c:v>
                </c:pt>
                <c:pt idx="13">
                  <c:v>INDIA</c:v>
                </c:pt>
                <c:pt idx="14">
                  <c:v>Jammu &amp; Kashmir</c:v>
                </c:pt>
                <c:pt idx="15">
                  <c:v>Jharkhand</c:v>
                </c:pt>
                <c:pt idx="16">
                  <c:v>Karnataka</c:v>
                </c:pt>
                <c:pt idx="17">
                  <c:v>Kerala</c:v>
                </c:pt>
                <c:pt idx="18">
                  <c:v>Lakshadweep</c:v>
                </c:pt>
                <c:pt idx="19">
                  <c:v>Madhya Pradesh</c:v>
                </c:pt>
                <c:pt idx="20">
                  <c:v>Maharashtra</c:v>
                </c:pt>
                <c:pt idx="21">
                  <c:v>Manipur</c:v>
                </c:pt>
                <c:pt idx="22">
                  <c:v>Meghalaya</c:v>
                </c:pt>
                <c:pt idx="23">
                  <c:v>Mizoram</c:v>
                </c:pt>
                <c:pt idx="24">
                  <c:v>Nagaland</c:v>
                </c:pt>
                <c:pt idx="25">
                  <c:v>NCT of Delhi</c:v>
                </c:pt>
                <c:pt idx="26">
                  <c:v>Odisha</c:v>
                </c:pt>
                <c:pt idx="27">
                  <c:v>Puducherry</c:v>
                </c:pt>
                <c:pt idx="28">
                  <c:v>Punjab</c:v>
                </c:pt>
                <c:pt idx="29">
                  <c:v>Rajasthan</c:v>
                </c:pt>
                <c:pt idx="30">
                  <c:v>Sikkim</c:v>
                </c:pt>
                <c:pt idx="31">
                  <c:v>Tamil Nadu</c:v>
                </c:pt>
                <c:pt idx="32">
                  <c:v>Tripura</c:v>
                </c:pt>
                <c:pt idx="33">
                  <c:v>Uttar Pradesh</c:v>
                </c:pt>
                <c:pt idx="34">
                  <c:v>Uttarakhand</c:v>
                </c:pt>
                <c:pt idx="35">
                  <c:v>West Bengal</c:v>
                </c:pt>
              </c:strCache>
            </c:strRef>
          </c:cat>
          <c:val>
            <c:numRef>
              <c:f>'3)SUB CATEGORY WISE TOTAL'!$C$12:$C$48</c:f>
              <c:numCache>
                <c:formatCode>General</c:formatCode>
                <c:ptCount val="36"/>
                <c:pt idx="0">
                  <c:v>846</c:v>
                </c:pt>
                <c:pt idx="1">
                  <c:v>978</c:v>
                </c:pt>
                <c:pt idx="2">
                  <c:v>893</c:v>
                </c:pt>
                <c:pt idx="3">
                  <c:v>935</c:v>
                </c:pt>
                <c:pt idx="4">
                  <c:v>919</c:v>
                </c:pt>
                <c:pt idx="5">
                  <c:v>777</c:v>
                </c:pt>
                <c:pt idx="6">
                  <c:v>989</c:v>
                </c:pt>
                <c:pt idx="7">
                  <c:v>812</c:v>
                </c:pt>
                <c:pt idx="8">
                  <c:v>710</c:v>
                </c:pt>
                <c:pt idx="9">
                  <c:v>961</c:v>
                </c:pt>
                <c:pt idx="10">
                  <c:v>920</c:v>
                </c:pt>
                <c:pt idx="11">
                  <c:v>861</c:v>
                </c:pt>
                <c:pt idx="12">
                  <c:v>968</c:v>
                </c:pt>
                <c:pt idx="13">
                  <c:v>933</c:v>
                </c:pt>
                <c:pt idx="14">
                  <c:v>892</c:v>
                </c:pt>
                <c:pt idx="15">
                  <c:v>941</c:v>
                </c:pt>
                <c:pt idx="16">
                  <c:v>965</c:v>
                </c:pt>
                <c:pt idx="17">
                  <c:v>1058</c:v>
                </c:pt>
                <c:pt idx="18">
                  <c:v>948</c:v>
                </c:pt>
                <c:pt idx="19">
                  <c:v>919</c:v>
                </c:pt>
                <c:pt idx="20">
                  <c:v>922</c:v>
                </c:pt>
                <c:pt idx="21">
                  <c:v>978</c:v>
                </c:pt>
                <c:pt idx="22">
                  <c:v>972</c:v>
                </c:pt>
                <c:pt idx="23">
                  <c:v>935</c:v>
                </c:pt>
                <c:pt idx="24">
                  <c:v>900</c:v>
                </c:pt>
                <c:pt idx="25">
                  <c:v>821</c:v>
                </c:pt>
                <c:pt idx="26">
                  <c:v>972</c:v>
                </c:pt>
                <c:pt idx="27">
                  <c:v>1001</c:v>
                </c:pt>
                <c:pt idx="28">
                  <c:v>876</c:v>
                </c:pt>
                <c:pt idx="29">
                  <c:v>921</c:v>
                </c:pt>
                <c:pt idx="30">
                  <c:v>875</c:v>
                </c:pt>
                <c:pt idx="31">
                  <c:v>987</c:v>
                </c:pt>
                <c:pt idx="32">
                  <c:v>948</c:v>
                </c:pt>
                <c:pt idx="33">
                  <c:v>898</c:v>
                </c:pt>
                <c:pt idx="34">
                  <c:v>962</c:v>
                </c:pt>
                <c:pt idx="35">
                  <c:v>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B6-49CF-BC37-C727B59CA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-1062868176"/>
        <c:axId val="-1062867632"/>
      </c:barChart>
      <c:catAx>
        <c:axId val="-106286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b" anchorCtr="0"/>
          <a:lstStyle/>
          <a:p>
            <a:pPr>
              <a:defRPr lang="en-US" sz="900" b="0" i="0" u="none" strike="noStrike" kern="1200" baseline="0">
                <a:ln w="6350">
                  <a:solidFill>
                    <a:schemeClr val="accent3">
                      <a:lumMod val="60000"/>
                      <a:lumOff val="40000"/>
                    </a:schemeClr>
                  </a:solidFill>
                  <a:tailEnd type="triangle"/>
                </a:ln>
                <a:solidFill>
                  <a:schemeClr val="lt1">
                    <a:lumMod val="8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67632"/>
        <c:crosses val="autoZero"/>
        <c:auto val="1"/>
        <c:lblAlgn val="ctr"/>
        <c:lblOffset val="100"/>
        <c:noMultiLvlLbl val="0"/>
      </c:catAx>
      <c:valAx>
        <c:axId val="-1062867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6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3113098517004"/>
          <c:y val="9.7169142516979196E-2"/>
          <c:w val="0.15195466921775"/>
          <c:h val="0.167110433776423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etp project vba POWERPIVOT (2) (2).xlsm]4)ratio of U.T.!ratio_of_u.t._pivot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u="sng">
                <a:solidFill>
                  <a:srgbClr val="92D050"/>
                </a:solidFill>
                <a:latin typeface="AR CENA" panose="02000000000000000000" pitchFamily="2" charset="0"/>
              </a:rPr>
              <a:t>Ratio</a:t>
            </a:r>
            <a:r>
              <a:rPr lang="en-IN" u="sng" baseline="0">
                <a:solidFill>
                  <a:srgbClr val="92D050"/>
                </a:solidFill>
                <a:latin typeface="AR CENA" panose="02000000000000000000" pitchFamily="2" charset="0"/>
              </a:rPr>
              <a:t> of rural to urban sex ratio of union territories</a:t>
            </a:r>
          </a:p>
          <a:p>
            <a:pPr algn="ctr">
              <a:defRPr/>
            </a:pPr>
            <a:endParaRPr lang="en-IN"/>
          </a:p>
        </c:rich>
      </c:tx>
      <c:layout>
        <c:manualLayout>
          <c:xMode val="edge"/>
          <c:yMode val="edge"/>
          <c:x val="0.22970857666023101"/>
          <c:y val="2.276363249466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221981627296599"/>
          <c:y val="0.20225053078556299"/>
          <c:w val="0.68652952755905505"/>
          <c:h val="0.55123861109717998"/>
        </c:manualLayout>
      </c:layout>
      <c:lineChart>
        <c:grouping val="standard"/>
        <c:varyColors val="0"/>
        <c:ser>
          <c:idx val="0"/>
          <c:order val="0"/>
          <c:tx>
            <c:strRef>
              <c:f>'4)ratio of U.T.'!$B$15</c:f>
              <c:strCache>
                <c:ptCount val="1"/>
                <c:pt idx="0">
                  <c:v>Ratio 2001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'4)ratio of U.T.'!$A$16:$A$23</c:f>
              <c:strCache>
                <c:ptCount val="7"/>
                <c:pt idx="0">
                  <c:v>A &amp; N Islands</c:v>
                </c:pt>
                <c:pt idx="1">
                  <c:v>Chandigarh</c:v>
                </c:pt>
                <c:pt idx="2">
                  <c:v>D &amp; N Haveli</c:v>
                </c:pt>
                <c:pt idx="3">
                  <c:v>Daman &amp; Diu</c:v>
                </c:pt>
                <c:pt idx="4">
                  <c:v>Lakshadweep</c:v>
                </c:pt>
                <c:pt idx="5">
                  <c:v>NCT of Delhi</c:v>
                </c:pt>
                <c:pt idx="6">
                  <c:v>Puducherry</c:v>
                </c:pt>
              </c:strCache>
            </c:strRef>
          </c:cat>
          <c:val>
            <c:numRef>
              <c:f>'4)ratio of U.T.'!$B$16:$B$23</c:f>
              <c:numCache>
                <c:formatCode>0.00</c:formatCode>
                <c:ptCount val="7"/>
                <c:pt idx="0">
                  <c:v>1.0564417177914109</c:v>
                </c:pt>
                <c:pt idx="1">
                  <c:v>0.78015075376884424</c:v>
                </c:pt>
                <c:pt idx="2">
                  <c:v>1.2329956584659914</c:v>
                </c:pt>
                <c:pt idx="3">
                  <c:v>0.59552845528455289</c:v>
                </c:pt>
                <c:pt idx="4">
                  <c:v>1.0256684491978609</c:v>
                </c:pt>
                <c:pt idx="5">
                  <c:v>0.98540145985401462</c:v>
                </c:pt>
                <c:pt idx="6">
                  <c:v>0.98311817279046676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73-4239-8455-453E9093EBB2}"/>
            </c:ext>
          </c:extLst>
        </c:ser>
        <c:ser>
          <c:idx val="1"/>
          <c:order val="1"/>
          <c:tx>
            <c:strRef>
              <c:f>'4)ratio of U.T.'!$C$15</c:f>
              <c:strCache>
                <c:ptCount val="1"/>
                <c:pt idx="0">
                  <c:v>Ratio -2011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'4)ratio of U.T.'!$A$16:$A$23</c:f>
              <c:strCache>
                <c:ptCount val="7"/>
                <c:pt idx="0">
                  <c:v>A &amp; N Islands</c:v>
                </c:pt>
                <c:pt idx="1">
                  <c:v>Chandigarh</c:v>
                </c:pt>
                <c:pt idx="2">
                  <c:v>D &amp; N Haveli</c:v>
                </c:pt>
                <c:pt idx="3">
                  <c:v>Daman &amp; Diu</c:v>
                </c:pt>
                <c:pt idx="4">
                  <c:v>Lakshadweep</c:v>
                </c:pt>
                <c:pt idx="5">
                  <c:v>NCT of Delhi</c:v>
                </c:pt>
                <c:pt idx="6">
                  <c:v>Puducherry</c:v>
                </c:pt>
              </c:strCache>
            </c:strRef>
          </c:cat>
          <c:val>
            <c:numRef>
              <c:f>'4)ratio of U.T.'!$C$16:$C$23</c:f>
              <c:numCache>
                <c:formatCode>0.00</c:formatCode>
                <c:ptCount val="7"/>
                <c:pt idx="0">
                  <c:v>1.0034324942791761</c:v>
                </c:pt>
                <c:pt idx="1">
                  <c:v>0.83941605839416056</c:v>
                </c:pt>
                <c:pt idx="2">
                  <c:v>1.2653958944281525</c:v>
                </c:pt>
                <c:pt idx="3">
                  <c:v>1.5680580762250453</c:v>
                </c:pt>
                <c:pt idx="4">
                  <c:v>1.0074074074074073</c:v>
                </c:pt>
                <c:pt idx="5">
                  <c:v>0.98156682027649766</c:v>
                </c:pt>
                <c:pt idx="6">
                  <c:v>0.98656429942418422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73-4239-8455-453E9093EBB2}"/>
            </c:ext>
          </c:extLst>
        </c:ser>
        <c:ser>
          <c:idx val="2"/>
          <c:order val="2"/>
          <c:tx>
            <c:strRef>
              <c:f>'4)ratio of U.T.'!$D$15</c:f>
              <c:strCache>
                <c:ptCount val="1"/>
                <c:pt idx="0">
                  <c:v>Sum of AVERAGE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'4)ratio of U.T.'!$A$16:$A$23</c:f>
              <c:strCache>
                <c:ptCount val="7"/>
                <c:pt idx="0">
                  <c:v>A &amp; N Islands</c:v>
                </c:pt>
                <c:pt idx="1">
                  <c:v>Chandigarh</c:v>
                </c:pt>
                <c:pt idx="2">
                  <c:v>D &amp; N Haveli</c:v>
                </c:pt>
                <c:pt idx="3">
                  <c:v>Daman &amp; Diu</c:v>
                </c:pt>
                <c:pt idx="4">
                  <c:v>Lakshadweep</c:v>
                </c:pt>
                <c:pt idx="5">
                  <c:v>NCT of Delhi</c:v>
                </c:pt>
                <c:pt idx="6">
                  <c:v>Puducherry</c:v>
                </c:pt>
              </c:strCache>
            </c:strRef>
          </c:cat>
          <c:val>
            <c:numRef>
              <c:f>'4)ratio of U.T.'!$D$16:$D$23</c:f>
              <c:numCache>
                <c:formatCode>0.00</c:formatCode>
                <c:ptCount val="7"/>
                <c:pt idx="0">
                  <c:v>1.0299371060352935</c:v>
                </c:pt>
                <c:pt idx="1">
                  <c:v>0.80978340608150234</c:v>
                </c:pt>
                <c:pt idx="2">
                  <c:v>1.2491957764470718</c:v>
                </c:pt>
                <c:pt idx="3">
                  <c:v>1.0817932657547991</c:v>
                </c:pt>
                <c:pt idx="4">
                  <c:v>1.0165379283026341</c:v>
                </c:pt>
                <c:pt idx="5">
                  <c:v>0.98348414006525608</c:v>
                </c:pt>
                <c:pt idx="6">
                  <c:v>0.98484123610732555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73-4239-8455-453E9093E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13159568"/>
        <c:axId val="-1113163920"/>
      </c:lineChart>
      <c:catAx>
        <c:axId val="-11131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1" i="0" u="none" strike="noStrike" kern="1200" normalizeH="0" baseline="0">
                <a:solidFill>
                  <a:schemeClr val="accent6">
                    <a:lumMod val="20000"/>
                    <a:lumOff val="80000"/>
                  </a:schemeClr>
                </a:solidFill>
                <a:latin typeface="Aharoni" panose="02010803020104030203" pitchFamily="2" charset="-79"/>
                <a:ea typeface="+mn-ea"/>
                <a:cs typeface="+mn-cs"/>
              </a:defRPr>
            </a:pPr>
            <a:endParaRPr lang="en-US"/>
          </a:p>
        </c:txPr>
        <c:crossAx val="-1113163920"/>
        <c:crosses val="autoZero"/>
        <c:auto val="1"/>
        <c:lblAlgn val="ctr"/>
        <c:lblOffset val="100"/>
        <c:noMultiLvlLbl val="0"/>
      </c:catAx>
      <c:valAx>
        <c:axId val="-1113163920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solidFill>
            <a:schemeClr val="bg2">
              <a:lumMod val="10000"/>
            </a:schemeClr>
          </a:solidFill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315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2486045494313198"/>
          <c:y val="0.15123075240594899"/>
          <c:w val="0.113813117169532"/>
          <c:h val="0.114379554135673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800" u="sng">
                <a:solidFill>
                  <a:schemeClr val="accent6">
                    <a:lumMod val="40000"/>
                    <a:lumOff val="60000"/>
                  </a:schemeClr>
                </a:solidFill>
                <a:latin typeface="AR CENA" panose="02000000000000000000" pitchFamily="2" charset="0"/>
              </a:rPr>
              <a:t>Child</a:t>
            </a:r>
            <a:r>
              <a:rPr lang="en-IN" sz="1800" u="sng" baseline="0">
                <a:solidFill>
                  <a:schemeClr val="accent6">
                    <a:lumMod val="40000"/>
                    <a:lumOff val="60000"/>
                  </a:schemeClr>
                </a:solidFill>
                <a:latin typeface="AR CENA" panose="02000000000000000000" pitchFamily="2" charset="0"/>
              </a:rPr>
              <a:t> sex ratio vs population sex ratio in states with major population</a:t>
            </a:r>
          </a:p>
          <a:p>
            <a:pPr algn="ctr">
              <a:defRPr/>
            </a:pPr>
            <a:endParaRPr lang="en-IN" sz="1800" u="sng">
              <a:solidFill>
                <a:schemeClr val="accent6">
                  <a:lumMod val="60000"/>
                  <a:lumOff val="40000"/>
                </a:schemeClr>
              </a:solidFill>
            </a:endParaRPr>
          </a:p>
        </c:rich>
      </c:tx>
      <c:layout>
        <c:manualLayout>
          <c:xMode val="edge"/>
          <c:yMode val="edge"/>
          <c:x val="0.20856339405062099"/>
          <c:y val="2.315425718461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8721907073444"/>
          <c:y val="0.220180810731992"/>
          <c:w val="0.52509318055673104"/>
          <c:h val="0.5439986147564890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'5)CSR VS SR'!$D$7</c:f>
              <c:strCache>
                <c:ptCount val="1"/>
                <c:pt idx="0">
                  <c:v>Sum of Total - 2001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'5)CSR VS SR'!$A$8:$A$13</c:f>
              <c:strCache>
                <c:ptCount val="6"/>
                <c:pt idx="0">
                  <c:v>Bihar</c:v>
                </c:pt>
                <c:pt idx="1">
                  <c:v>Madhya Pradesh</c:v>
                </c:pt>
                <c:pt idx="2">
                  <c:v>Maharashtra</c:v>
                </c:pt>
                <c:pt idx="3">
                  <c:v>Uttar Pradesh</c:v>
                </c:pt>
                <c:pt idx="4">
                  <c:v>West Bengal</c:v>
                </c:pt>
                <c:pt idx="5">
                  <c:v>Grand Total</c:v>
                </c:pt>
              </c:strCache>
            </c:strRef>
          </c:cat>
          <c:val>
            <c:numRef>
              <c:f>'5)CSR VS SR'!$D$8:$D$13</c:f>
              <c:numCache>
                <c:formatCode>General</c:formatCode>
                <c:ptCount val="6"/>
                <c:pt idx="0">
                  <c:v>919</c:v>
                </c:pt>
                <c:pt idx="1">
                  <c:v>919</c:v>
                </c:pt>
                <c:pt idx="2">
                  <c:v>922</c:v>
                </c:pt>
                <c:pt idx="3">
                  <c:v>898</c:v>
                </c:pt>
                <c:pt idx="4">
                  <c:v>934</c:v>
                </c:pt>
                <c:pt idx="5">
                  <c:v>4592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82-4595-93FB-FD2BD531CC9E}"/>
            </c:ext>
          </c:extLst>
        </c:ser>
        <c:ser>
          <c:idx val="3"/>
          <c:order val="3"/>
          <c:tx>
            <c:strRef>
              <c:f>'5)CSR VS SR'!$E$7</c:f>
              <c:strCache>
                <c:ptCount val="1"/>
                <c:pt idx="0">
                  <c:v>Sum of Total - 2011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'5)CSR VS SR'!$A$8:$A$13</c:f>
              <c:strCache>
                <c:ptCount val="6"/>
                <c:pt idx="0">
                  <c:v>Bihar</c:v>
                </c:pt>
                <c:pt idx="1">
                  <c:v>Madhya Pradesh</c:v>
                </c:pt>
                <c:pt idx="2">
                  <c:v>Maharashtra</c:v>
                </c:pt>
                <c:pt idx="3">
                  <c:v>Uttar Pradesh</c:v>
                </c:pt>
                <c:pt idx="4">
                  <c:v>West Bengal</c:v>
                </c:pt>
                <c:pt idx="5">
                  <c:v>Grand Total</c:v>
                </c:pt>
              </c:strCache>
            </c:strRef>
          </c:cat>
          <c:val>
            <c:numRef>
              <c:f>'5)CSR VS SR'!$E$8:$E$13</c:f>
              <c:numCache>
                <c:formatCode>General</c:formatCode>
                <c:ptCount val="6"/>
                <c:pt idx="0">
                  <c:v>918</c:v>
                </c:pt>
                <c:pt idx="1">
                  <c:v>931</c:v>
                </c:pt>
                <c:pt idx="2">
                  <c:v>929</c:v>
                </c:pt>
                <c:pt idx="3">
                  <c:v>912</c:v>
                </c:pt>
                <c:pt idx="4">
                  <c:v>950</c:v>
                </c:pt>
                <c:pt idx="5">
                  <c:v>4640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82-4595-93FB-FD2BD531C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1113163376"/>
        <c:axId val="-1113165552"/>
      </c:barChart>
      <c:lineChart>
        <c:grouping val="standard"/>
        <c:varyColors val="0"/>
        <c:ser>
          <c:idx val="0"/>
          <c:order val="0"/>
          <c:tx>
            <c:strRef>
              <c:f>'5)CSR VS SR'!$B$7</c:f>
              <c:strCache>
                <c:ptCount val="1"/>
                <c:pt idx="0">
                  <c:v>Sum of CSR Total - 2001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'5)CSR VS SR'!$A$8:$A$13</c:f>
              <c:strCache>
                <c:ptCount val="6"/>
                <c:pt idx="0">
                  <c:v>Bihar</c:v>
                </c:pt>
                <c:pt idx="1">
                  <c:v>Madhya Pradesh</c:v>
                </c:pt>
                <c:pt idx="2">
                  <c:v>Maharashtra</c:v>
                </c:pt>
                <c:pt idx="3">
                  <c:v>Uttar Pradesh</c:v>
                </c:pt>
                <c:pt idx="4">
                  <c:v>West Bengal</c:v>
                </c:pt>
                <c:pt idx="5">
                  <c:v>Grand Total</c:v>
                </c:pt>
              </c:strCache>
            </c:strRef>
          </c:cat>
          <c:val>
            <c:numRef>
              <c:f>'5)CSR VS SR'!$B$8:$B$13</c:f>
              <c:numCache>
                <c:formatCode>General</c:formatCode>
                <c:ptCount val="6"/>
                <c:pt idx="0">
                  <c:v>942</c:v>
                </c:pt>
                <c:pt idx="1">
                  <c:v>932</c:v>
                </c:pt>
                <c:pt idx="2">
                  <c:v>913</c:v>
                </c:pt>
                <c:pt idx="3">
                  <c:v>916</c:v>
                </c:pt>
                <c:pt idx="4">
                  <c:v>960</c:v>
                </c:pt>
                <c:pt idx="5">
                  <c:v>4663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82-4595-93FB-FD2BD531CC9E}"/>
            </c:ext>
          </c:extLst>
        </c:ser>
        <c:ser>
          <c:idx val="1"/>
          <c:order val="1"/>
          <c:tx>
            <c:strRef>
              <c:f>'5)CSR VS SR'!$C$7</c:f>
              <c:strCache>
                <c:ptCount val="1"/>
                <c:pt idx="0">
                  <c:v>Sum of CSR Total - 2011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'5)CSR VS SR'!$A$8:$A$13</c:f>
              <c:strCache>
                <c:ptCount val="6"/>
                <c:pt idx="0">
                  <c:v>Bihar</c:v>
                </c:pt>
                <c:pt idx="1">
                  <c:v>Madhya Pradesh</c:v>
                </c:pt>
                <c:pt idx="2">
                  <c:v>Maharashtra</c:v>
                </c:pt>
                <c:pt idx="3">
                  <c:v>Uttar Pradesh</c:v>
                </c:pt>
                <c:pt idx="4">
                  <c:v>West Bengal</c:v>
                </c:pt>
                <c:pt idx="5">
                  <c:v>Grand Total</c:v>
                </c:pt>
              </c:strCache>
            </c:strRef>
          </c:cat>
          <c:val>
            <c:numRef>
              <c:f>'5)CSR VS SR'!$C$8:$C$13</c:f>
              <c:numCache>
                <c:formatCode>General</c:formatCode>
                <c:ptCount val="6"/>
                <c:pt idx="0">
                  <c:v>935</c:v>
                </c:pt>
                <c:pt idx="1">
                  <c:v>918</c:v>
                </c:pt>
                <c:pt idx="2">
                  <c:v>894</c:v>
                </c:pt>
                <c:pt idx="3">
                  <c:v>902</c:v>
                </c:pt>
                <c:pt idx="4">
                  <c:v>956</c:v>
                </c:pt>
                <c:pt idx="5">
                  <c:v>4605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82-4595-93FB-FD2BD531C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13163376"/>
        <c:axId val="-1113165552"/>
      </c:lineChart>
      <c:catAx>
        <c:axId val="-111316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1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Aharoni" panose="02010803020104030203" pitchFamily="2" charset="-79"/>
                <a:ea typeface="+mn-ea"/>
                <a:cs typeface="+mn-cs"/>
              </a:defRPr>
            </a:pPr>
            <a:endParaRPr lang="en-US"/>
          </a:p>
        </c:txPr>
        <c:crossAx val="-1113165552"/>
        <c:crosses val="autoZero"/>
        <c:auto val="1"/>
        <c:lblAlgn val="ctr"/>
        <c:lblOffset val="100"/>
        <c:noMultiLvlLbl val="0"/>
      </c:catAx>
      <c:valAx>
        <c:axId val="-11131655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316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58162353361701"/>
          <c:y val="0.45442111402741298"/>
          <c:w val="0.23908145890365901"/>
          <c:h val="0.460650335374744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chemeClr val="accent3">
          <a:lumMod val="60000"/>
          <a:lumOff val="40000"/>
        </a:schemeClr>
      </a:solidFill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etp project vba POWERPIVOT (2) (2).xlsm]1)SEX RATIO COMPLETE!complete_graph_pivot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000" u="sng">
                <a:solidFill>
                  <a:schemeClr val="accent6">
                    <a:lumMod val="40000"/>
                    <a:lumOff val="60000"/>
                  </a:schemeClr>
                </a:solidFill>
                <a:latin typeface="AR CENA" panose="02000000000000000000" pitchFamily="2" charset="0"/>
              </a:rPr>
              <a:t>No. of females per 1000 men according to residence in various zones of India</a:t>
            </a:r>
          </a:p>
        </c:rich>
      </c:tx>
      <c:layout>
        <c:manualLayout>
          <c:xMode val="edge"/>
          <c:yMode val="edge"/>
          <c:x val="3.8964967738184003E-2"/>
          <c:y val="1.608238801952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'1)SEX RATIO COMPLETE'!$B$7</c:f>
              <c:strCache>
                <c:ptCount val="1"/>
                <c:pt idx="0">
                  <c:v>Sum of  Rural - 2011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multiLvlStrRef>
              <c:f>'1)SEX RATIO COMPLETE'!$A$8:$A$52</c:f>
              <c:multiLvlStrCache>
                <c:ptCount val="36"/>
                <c:lvl>
                  <c:pt idx="0">
                    <c:v>Chhattisgarh</c:v>
                  </c:pt>
                  <c:pt idx="1">
                    <c:v>Madhya Pradesh</c:v>
                  </c:pt>
                  <c:pt idx="2">
                    <c:v>INDIA</c:v>
                  </c:pt>
                  <c:pt idx="3">
                    <c:v>Bihar</c:v>
                  </c:pt>
                  <c:pt idx="4">
                    <c:v>Jharkhand</c:v>
                  </c:pt>
                  <c:pt idx="5">
                    <c:v>Odisha</c:v>
                  </c:pt>
                  <c:pt idx="6">
                    <c:v>West Bengal</c:v>
                  </c:pt>
                  <c:pt idx="7">
                    <c:v>Haryana</c:v>
                  </c:pt>
                  <c:pt idx="8">
                    <c:v>Himachal Pradesh</c:v>
                  </c:pt>
                  <c:pt idx="9">
                    <c:v>Jammu &amp; Kashmir</c:v>
                  </c:pt>
                  <c:pt idx="10">
                    <c:v>Punjab</c:v>
                  </c:pt>
                  <c:pt idx="11">
                    <c:v>Uttar Pradesh</c:v>
                  </c:pt>
                  <c:pt idx="12">
                    <c:v>Uttarakhand</c:v>
                  </c:pt>
                  <c:pt idx="13">
                    <c:v>Arunachal Pradesh</c:v>
                  </c:pt>
                  <c:pt idx="14">
                    <c:v>Assam</c:v>
                  </c:pt>
                  <c:pt idx="15">
                    <c:v>Manipur</c:v>
                  </c:pt>
                  <c:pt idx="16">
                    <c:v>Meghalaya</c:v>
                  </c:pt>
                  <c:pt idx="17">
                    <c:v>Mizoram</c:v>
                  </c:pt>
                  <c:pt idx="18">
                    <c:v>Nagaland</c:v>
                  </c:pt>
                  <c:pt idx="19">
                    <c:v>Sikkim</c:v>
                  </c:pt>
                  <c:pt idx="20">
                    <c:v>Tripura</c:v>
                  </c:pt>
                  <c:pt idx="21">
                    <c:v>Andhra Pradesh</c:v>
                  </c:pt>
                  <c:pt idx="22">
                    <c:v>Karnataka</c:v>
                  </c:pt>
                  <c:pt idx="23">
                    <c:v>Kerala</c:v>
                  </c:pt>
                  <c:pt idx="24">
                    <c:v>Tamil Nadu</c:v>
                  </c:pt>
                  <c:pt idx="25">
                    <c:v>A &amp; N Islands</c:v>
                  </c:pt>
                  <c:pt idx="26">
                    <c:v>Chandigarh</c:v>
                  </c:pt>
                  <c:pt idx="27">
                    <c:v>D &amp; N Haveli</c:v>
                  </c:pt>
                  <c:pt idx="28">
                    <c:v>Daman &amp; Diu</c:v>
                  </c:pt>
                  <c:pt idx="29">
                    <c:v>Lakshadweep</c:v>
                  </c:pt>
                  <c:pt idx="30">
                    <c:v>NCT of Delhi</c:v>
                  </c:pt>
                  <c:pt idx="31">
                    <c:v>Puducherry</c:v>
                  </c:pt>
                  <c:pt idx="32">
                    <c:v>Goa</c:v>
                  </c:pt>
                  <c:pt idx="33">
                    <c:v>Gujarat</c:v>
                  </c:pt>
                  <c:pt idx="34">
                    <c:v>Maharashtra</c:v>
                  </c:pt>
                  <c:pt idx="35">
                    <c:v>Rajasthan</c:v>
                  </c:pt>
                </c:lvl>
                <c:lvl>
                  <c:pt idx="0">
                    <c:v>Central</c:v>
                  </c:pt>
                  <c:pt idx="2">
                    <c:v>Country</c:v>
                  </c:pt>
                  <c:pt idx="3">
                    <c:v>East</c:v>
                  </c:pt>
                  <c:pt idx="7">
                    <c:v>North</c:v>
                  </c:pt>
                  <c:pt idx="13">
                    <c:v>North East</c:v>
                  </c:pt>
                  <c:pt idx="21">
                    <c:v>South</c:v>
                  </c:pt>
                  <c:pt idx="25">
                    <c:v>U.T.</c:v>
                  </c:pt>
                  <c:pt idx="32">
                    <c:v>West</c:v>
                  </c:pt>
                </c:lvl>
              </c:multiLvlStrCache>
            </c:multiLvlStrRef>
          </c:cat>
          <c:val>
            <c:numRef>
              <c:f>'1)SEX RATIO COMPLETE'!$B$8:$B$52</c:f>
              <c:numCache>
                <c:formatCode>General</c:formatCode>
                <c:ptCount val="36"/>
                <c:pt idx="0">
                  <c:v>1001</c:v>
                </c:pt>
                <c:pt idx="1">
                  <c:v>936</c:v>
                </c:pt>
                <c:pt idx="2">
                  <c:v>949</c:v>
                </c:pt>
                <c:pt idx="3">
                  <c:v>921</c:v>
                </c:pt>
                <c:pt idx="4">
                  <c:v>961</c:v>
                </c:pt>
                <c:pt idx="5">
                  <c:v>989</c:v>
                </c:pt>
                <c:pt idx="6">
                  <c:v>953</c:v>
                </c:pt>
                <c:pt idx="7">
                  <c:v>882</c:v>
                </c:pt>
                <c:pt idx="8">
                  <c:v>986</c:v>
                </c:pt>
                <c:pt idx="9">
                  <c:v>908</c:v>
                </c:pt>
                <c:pt idx="10">
                  <c:v>907</c:v>
                </c:pt>
                <c:pt idx="11">
                  <c:v>918</c:v>
                </c:pt>
                <c:pt idx="12">
                  <c:v>1000</c:v>
                </c:pt>
                <c:pt idx="13">
                  <c:v>953</c:v>
                </c:pt>
                <c:pt idx="14">
                  <c:v>960</c:v>
                </c:pt>
                <c:pt idx="15">
                  <c:v>969</c:v>
                </c:pt>
                <c:pt idx="16">
                  <c:v>986</c:v>
                </c:pt>
                <c:pt idx="17">
                  <c:v>952</c:v>
                </c:pt>
                <c:pt idx="18">
                  <c:v>940</c:v>
                </c:pt>
                <c:pt idx="19">
                  <c:v>882</c:v>
                </c:pt>
                <c:pt idx="20">
                  <c:v>955</c:v>
                </c:pt>
                <c:pt idx="21">
                  <c:v>996</c:v>
                </c:pt>
                <c:pt idx="22">
                  <c:v>979</c:v>
                </c:pt>
                <c:pt idx="23">
                  <c:v>1078</c:v>
                </c:pt>
                <c:pt idx="24">
                  <c:v>993</c:v>
                </c:pt>
                <c:pt idx="25">
                  <c:v>877</c:v>
                </c:pt>
                <c:pt idx="26">
                  <c:v>690</c:v>
                </c:pt>
                <c:pt idx="27">
                  <c:v>863</c:v>
                </c:pt>
                <c:pt idx="28">
                  <c:v>864</c:v>
                </c:pt>
                <c:pt idx="29">
                  <c:v>952</c:v>
                </c:pt>
                <c:pt idx="30">
                  <c:v>852</c:v>
                </c:pt>
                <c:pt idx="31">
                  <c:v>1028</c:v>
                </c:pt>
                <c:pt idx="32">
                  <c:v>1003</c:v>
                </c:pt>
                <c:pt idx="33">
                  <c:v>949</c:v>
                </c:pt>
                <c:pt idx="34">
                  <c:v>952</c:v>
                </c:pt>
                <c:pt idx="35">
                  <c:v>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52-4042-9925-45057E87F9E0}"/>
            </c:ext>
          </c:extLst>
        </c:ser>
        <c:ser>
          <c:idx val="1"/>
          <c:order val="1"/>
          <c:tx>
            <c:strRef>
              <c:f>'1)SEX RATIO COMPLETE'!$C$7</c:f>
              <c:strCache>
                <c:ptCount val="1"/>
                <c:pt idx="0">
                  <c:v>Sum of Urban - 2011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multiLvlStrRef>
              <c:f>'1)SEX RATIO COMPLETE'!$A$8:$A$52</c:f>
              <c:multiLvlStrCache>
                <c:ptCount val="36"/>
                <c:lvl>
                  <c:pt idx="0">
                    <c:v>Chhattisgarh</c:v>
                  </c:pt>
                  <c:pt idx="1">
                    <c:v>Madhya Pradesh</c:v>
                  </c:pt>
                  <c:pt idx="2">
                    <c:v>INDIA</c:v>
                  </c:pt>
                  <c:pt idx="3">
                    <c:v>Bihar</c:v>
                  </c:pt>
                  <c:pt idx="4">
                    <c:v>Jharkhand</c:v>
                  </c:pt>
                  <c:pt idx="5">
                    <c:v>Odisha</c:v>
                  </c:pt>
                  <c:pt idx="6">
                    <c:v>West Bengal</c:v>
                  </c:pt>
                  <c:pt idx="7">
                    <c:v>Haryana</c:v>
                  </c:pt>
                  <c:pt idx="8">
                    <c:v>Himachal Pradesh</c:v>
                  </c:pt>
                  <c:pt idx="9">
                    <c:v>Jammu &amp; Kashmir</c:v>
                  </c:pt>
                  <c:pt idx="10">
                    <c:v>Punjab</c:v>
                  </c:pt>
                  <c:pt idx="11">
                    <c:v>Uttar Pradesh</c:v>
                  </c:pt>
                  <c:pt idx="12">
                    <c:v>Uttarakhand</c:v>
                  </c:pt>
                  <c:pt idx="13">
                    <c:v>Arunachal Pradesh</c:v>
                  </c:pt>
                  <c:pt idx="14">
                    <c:v>Assam</c:v>
                  </c:pt>
                  <c:pt idx="15">
                    <c:v>Manipur</c:v>
                  </c:pt>
                  <c:pt idx="16">
                    <c:v>Meghalaya</c:v>
                  </c:pt>
                  <c:pt idx="17">
                    <c:v>Mizoram</c:v>
                  </c:pt>
                  <c:pt idx="18">
                    <c:v>Nagaland</c:v>
                  </c:pt>
                  <c:pt idx="19">
                    <c:v>Sikkim</c:v>
                  </c:pt>
                  <c:pt idx="20">
                    <c:v>Tripura</c:v>
                  </c:pt>
                  <c:pt idx="21">
                    <c:v>Andhra Pradesh</c:v>
                  </c:pt>
                  <c:pt idx="22">
                    <c:v>Karnataka</c:v>
                  </c:pt>
                  <c:pt idx="23">
                    <c:v>Kerala</c:v>
                  </c:pt>
                  <c:pt idx="24">
                    <c:v>Tamil Nadu</c:v>
                  </c:pt>
                  <c:pt idx="25">
                    <c:v>A &amp; N Islands</c:v>
                  </c:pt>
                  <c:pt idx="26">
                    <c:v>Chandigarh</c:v>
                  </c:pt>
                  <c:pt idx="27">
                    <c:v>D &amp; N Haveli</c:v>
                  </c:pt>
                  <c:pt idx="28">
                    <c:v>Daman &amp; Diu</c:v>
                  </c:pt>
                  <c:pt idx="29">
                    <c:v>Lakshadweep</c:v>
                  </c:pt>
                  <c:pt idx="30">
                    <c:v>NCT of Delhi</c:v>
                  </c:pt>
                  <c:pt idx="31">
                    <c:v>Puducherry</c:v>
                  </c:pt>
                  <c:pt idx="32">
                    <c:v>Goa</c:v>
                  </c:pt>
                  <c:pt idx="33">
                    <c:v>Gujarat</c:v>
                  </c:pt>
                  <c:pt idx="34">
                    <c:v>Maharashtra</c:v>
                  </c:pt>
                  <c:pt idx="35">
                    <c:v>Rajasthan</c:v>
                  </c:pt>
                </c:lvl>
                <c:lvl>
                  <c:pt idx="0">
                    <c:v>Central</c:v>
                  </c:pt>
                  <c:pt idx="2">
                    <c:v>Country</c:v>
                  </c:pt>
                  <c:pt idx="3">
                    <c:v>East</c:v>
                  </c:pt>
                  <c:pt idx="7">
                    <c:v>North</c:v>
                  </c:pt>
                  <c:pt idx="13">
                    <c:v>North East</c:v>
                  </c:pt>
                  <c:pt idx="21">
                    <c:v>South</c:v>
                  </c:pt>
                  <c:pt idx="25">
                    <c:v>U.T.</c:v>
                  </c:pt>
                  <c:pt idx="32">
                    <c:v>West</c:v>
                  </c:pt>
                </c:lvl>
              </c:multiLvlStrCache>
            </c:multiLvlStrRef>
          </c:cat>
          <c:val>
            <c:numRef>
              <c:f>'1)SEX RATIO COMPLETE'!$C$8:$C$52</c:f>
              <c:numCache>
                <c:formatCode>General</c:formatCode>
                <c:ptCount val="36"/>
                <c:pt idx="0">
                  <c:v>956</c:v>
                </c:pt>
                <c:pt idx="1">
                  <c:v>918</c:v>
                </c:pt>
                <c:pt idx="2">
                  <c:v>929</c:v>
                </c:pt>
                <c:pt idx="3">
                  <c:v>895</c:v>
                </c:pt>
                <c:pt idx="4">
                  <c:v>910</c:v>
                </c:pt>
                <c:pt idx="5">
                  <c:v>932</c:v>
                </c:pt>
                <c:pt idx="6">
                  <c:v>944</c:v>
                </c:pt>
                <c:pt idx="7">
                  <c:v>873</c:v>
                </c:pt>
                <c:pt idx="8">
                  <c:v>853</c:v>
                </c:pt>
                <c:pt idx="9">
                  <c:v>840</c:v>
                </c:pt>
                <c:pt idx="10">
                  <c:v>875</c:v>
                </c:pt>
                <c:pt idx="11">
                  <c:v>894</c:v>
                </c:pt>
                <c:pt idx="12">
                  <c:v>884</c:v>
                </c:pt>
                <c:pt idx="13">
                  <c:v>890</c:v>
                </c:pt>
                <c:pt idx="14">
                  <c:v>946</c:v>
                </c:pt>
                <c:pt idx="15">
                  <c:v>1026</c:v>
                </c:pt>
                <c:pt idx="16">
                  <c:v>1001</c:v>
                </c:pt>
                <c:pt idx="17">
                  <c:v>998</c:v>
                </c:pt>
                <c:pt idx="18">
                  <c:v>908</c:v>
                </c:pt>
                <c:pt idx="19">
                  <c:v>913</c:v>
                </c:pt>
                <c:pt idx="20">
                  <c:v>973</c:v>
                </c:pt>
                <c:pt idx="21">
                  <c:v>987</c:v>
                </c:pt>
                <c:pt idx="22">
                  <c:v>963</c:v>
                </c:pt>
                <c:pt idx="23">
                  <c:v>1091</c:v>
                </c:pt>
                <c:pt idx="24">
                  <c:v>1000</c:v>
                </c:pt>
                <c:pt idx="25">
                  <c:v>874</c:v>
                </c:pt>
                <c:pt idx="26">
                  <c:v>822</c:v>
                </c:pt>
                <c:pt idx="27">
                  <c:v>682</c:v>
                </c:pt>
                <c:pt idx="28">
                  <c:v>551</c:v>
                </c:pt>
                <c:pt idx="29">
                  <c:v>945</c:v>
                </c:pt>
                <c:pt idx="30">
                  <c:v>868</c:v>
                </c:pt>
                <c:pt idx="31">
                  <c:v>1042</c:v>
                </c:pt>
                <c:pt idx="32">
                  <c:v>956</c:v>
                </c:pt>
                <c:pt idx="33">
                  <c:v>880</c:v>
                </c:pt>
                <c:pt idx="34">
                  <c:v>903</c:v>
                </c:pt>
                <c:pt idx="35">
                  <c:v>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52-4042-9925-45057E87F9E0}"/>
            </c:ext>
          </c:extLst>
        </c:ser>
        <c:ser>
          <c:idx val="2"/>
          <c:order val="2"/>
          <c:tx>
            <c:strRef>
              <c:f>'1)SEX RATIO COMPLETE'!$D$7</c:f>
              <c:strCache>
                <c:ptCount val="1"/>
                <c:pt idx="0">
                  <c:v>Sum of  Rural - 2001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cat>
            <c:multiLvlStrRef>
              <c:f>'1)SEX RATIO COMPLETE'!$A$8:$A$52</c:f>
              <c:multiLvlStrCache>
                <c:ptCount val="36"/>
                <c:lvl>
                  <c:pt idx="0">
                    <c:v>Chhattisgarh</c:v>
                  </c:pt>
                  <c:pt idx="1">
                    <c:v>Madhya Pradesh</c:v>
                  </c:pt>
                  <c:pt idx="2">
                    <c:v>INDIA</c:v>
                  </c:pt>
                  <c:pt idx="3">
                    <c:v>Bihar</c:v>
                  </c:pt>
                  <c:pt idx="4">
                    <c:v>Jharkhand</c:v>
                  </c:pt>
                  <c:pt idx="5">
                    <c:v>Odisha</c:v>
                  </c:pt>
                  <c:pt idx="6">
                    <c:v>West Bengal</c:v>
                  </c:pt>
                  <c:pt idx="7">
                    <c:v>Haryana</c:v>
                  </c:pt>
                  <c:pt idx="8">
                    <c:v>Himachal Pradesh</c:v>
                  </c:pt>
                  <c:pt idx="9">
                    <c:v>Jammu &amp; Kashmir</c:v>
                  </c:pt>
                  <c:pt idx="10">
                    <c:v>Punjab</c:v>
                  </c:pt>
                  <c:pt idx="11">
                    <c:v>Uttar Pradesh</c:v>
                  </c:pt>
                  <c:pt idx="12">
                    <c:v>Uttarakhand</c:v>
                  </c:pt>
                  <c:pt idx="13">
                    <c:v>Arunachal Pradesh</c:v>
                  </c:pt>
                  <c:pt idx="14">
                    <c:v>Assam</c:v>
                  </c:pt>
                  <c:pt idx="15">
                    <c:v>Manipur</c:v>
                  </c:pt>
                  <c:pt idx="16">
                    <c:v>Meghalaya</c:v>
                  </c:pt>
                  <c:pt idx="17">
                    <c:v>Mizoram</c:v>
                  </c:pt>
                  <c:pt idx="18">
                    <c:v>Nagaland</c:v>
                  </c:pt>
                  <c:pt idx="19">
                    <c:v>Sikkim</c:v>
                  </c:pt>
                  <c:pt idx="20">
                    <c:v>Tripura</c:v>
                  </c:pt>
                  <c:pt idx="21">
                    <c:v>Andhra Pradesh</c:v>
                  </c:pt>
                  <c:pt idx="22">
                    <c:v>Karnataka</c:v>
                  </c:pt>
                  <c:pt idx="23">
                    <c:v>Kerala</c:v>
                  </c:pt>
                  <c:pt idx="24">
                    <c:v>Tamil Nadu</c:v>
                  </c:pt>
                  <c:pt idx="25">
                    <c:v>A &amp; N Islands</c:v>
                  </c:pt>
                  <c:pt idx="26">
                    <c:v>Chandigarh</c:v>
                  </c:pt>
                  <c:pt idx="27">
                    <c:v>D &amp; N Haveli</c:v>
                  </c:pt>
                  <c:pt idx="28">
                    <c:v>Daman &amp; Diu</c:v>
                  </c:pt>
                  <c:pt idx="29">
                    <c:v>Lakshadweep</c:v>
                  </c:pt>
                  <c:pt idx="30">
                    <c:v>NCT of Delhi</c:v>
                  </c:pt>
                  <c:pt idx="31">
                    <c:v>Puducherry</c:v>
                  </c:pt>
                  <c:pt idx="32">
                    <c:v>Goa</c:v>
                  </c:pt>
                  <c:pt idx="33">
                    <c:v>Gujarat</c:v>
                  </c:pt>
                  <c:pt idx="34">
                    <c:v>Maharashtra</c:v>
                  </c:pt>
                  <c:pt idx="35">
                    <c:v>Rajasthan</c:v>
                  </c:pt>
                </c:lvl>
                <c:lvl>
                  <c:pt idx="0">
                    <c:v>Central</c:v>
                  </c:pt>
                  <c:pt idx="2">
                    <c:v>Country</c:v>
                  </c:pt>
                  <c:pt idx="3">
                    <c:v>East</c:v>
                  </c:pt>
                  <c:pt idx="7">
                    <c:v>North</c:v>
                  </c:pt>
                  <c:pt idx="13">
                    <c:v>North East</c:v>
                  </c:pt>
                  <c:pt idx="21">
                    <c:v>South</c:v>
                  </c:pt>
                  <c:pt idx="25">
                    <c:v>U.T.</c:v>
                  </c:pt>
                  <c:pt idx="32">
                    <c:v>West</c:v>
                  </c:pt>
                </c:lvl>
              </c:multiLvlStrCache>
            </c:multiLvlStrRef>
          </c:cat>
          <c:val>
            <c:numRef>
              <c:f>'1)SEX RATIO COMPLETE'!$D$8:$D$52</c:f>
              <c:numCache>
                <c:formatCode>General</c:formatCode>
                <c:ptCount val="36"/>
                <c:pt idx="0">
                  <c:v>1004</c:v>
                </c:pt>
                <c:pt idx="1">
                  <c:v>927</c:v>
                </c:pt>
                <c:pt idx="2">
                  <c:v>946</c:v>
                </c:pt>
                <c:pt idx="3">
                  <c:v>926</c:v>
                </c:pt>
                <c:pt idx="4">
                  <c:v>962</c:v>
                </c:pt>
                <c:pt idx="5">
                  <c:v>987</c:v>
                </c:pt>
                <c:pt idx="6">
                  <c:v>950</c:v>
                </c:pt>
                <c:pt idx="7">
                  <c:v>866</c:v>
                </c:pt>
                <c:pt idx="8">
                  <c:v>989</c:v>
                </c:pt>
                <c:pt idx="9">
                  <c:v>917</c:v>
                </c:pt>
                <c:pt idx="10">
                  <c:v>890</c:v>
                </c:pt>
                <c:pt idx="11">
                  <c:v>904</c:v>
                </c:pt>
                <c:pt idx="12">
                  <c:v>1007</c:v>
                </c:pt>
                <c:pt idx="13">
                  <c:v>914</c:v>
                </c:pt>
                <c:pt idx="14">
                  <c:v>944</c:v>
                </c:pt>
                <c:pt idx="15">
                  <c:v>967</c:v>
                </c:pt>
                <c:pt idx="16">
                  <c:v>969</c:v>
                </c:pt>
                <c:pt idx="17">
                  <c:v>923</c:v>
                </c:pt>
                <c:pt idx="18">
                  <c:v>916</c:v>
                </c:pt>
                <c:pt idx="19">
                  <c:v>880</c:v>
                </c:pt>
                <c:pt idx="20">
                  <c:v>946</c:v>
                </c:pt>
                <c:pt idx="21">
                  <c:v>983</c:v>
                </c:pt>
                <c:pt idx="22">
                  <c:v>977</c:v>
                </c:pt>
                <c:pt idx="23">
                  <c:v>1059</c:v>
                </c:pt>
                <c:pt idx="24">
                  <c:v>992</c:v>
                </c:pt>
                <c:pt idx="25">
                  <c:v>861</c:v>
                </c:pt>
                <c:pt idx="26">
                  <c:v>621</c:v>
                </c:pt>
                <c:pt idx="27">
                  <c:v>852</c:v>
                </c:pt>
                <c:pt idx="28">
                  <c:v>586</c:v>
                </c:pt>
                <c:pt idx="29">
                  <c:v>959</c:v>
                </c:pt>
                <c:pt idx="30">
                  <c:v>810</c:v>
                </c:pt>
                <c:pt idx="31">
                  <c:v>990</c:v>
                </c:pt>
                <c:pt idx="32">
                  <c:v>988</c:v>
                </c:pt>
                <c:pt idx="33">
                  <c:v>945</c:v>
                </c:pt>
                <c:pt idx="34">
                  <c:v>960</c:v>
                </c:pt>
                <c:pt idx="35">
                  <c:v>930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52-4042-9925-45057E87F9E0}"/>
            </c:ext>
          </c:extLst>
        </c:ser>
        <c:ser>
          <c:idx val="3"/>
          <c:order val="3"/>
          <c:tx>
            <c:strRef>
              <c:f>'1)SEX RATIO COMPLETE'!$E$7</c:f>
              <c:strCache>
                <c:ptCount val="1"/>
                <c:pt idx="0">
                  <c:v>Sum of Urban - 2001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cat>
            <c:multiLvlStrRef>
              <c:f>'1)SEX RATIO COMPLETE'!$A$8:$A$52</c:f>
              <c:multiLvlStrCache>
                <c:ptCount val="36"/>
                <c:lvl>
                  <c:pt idx="0">
                    <c:v>Chhattisgarh</c:v>
                  </c:pt>
                  <c:pt idx="1">
                    <c:v>Madhya Pradesh</c:v>
                  </c:pt>
                  <c:pt idx="2">
                    <c:v>INDIA</c:v>
                  </c:pt>
                  <c:pt idx="3">
                    <c:v>Bihar</c:v>
                  </c:pt>
                  <c:pt idx="4">
                    <c:v>Jharkhand</c:v>
                  </c:pt>
                  <c:pt idx="5">
                    <c:v>Odisha</c:v>
                  </c:pt>
                  <c:pt idx="6">
                    <c:v>West Bengal</c:v>
                  </c:pt>
                  <c:pt idx="7">
                    <c:v>Haryana</c:v>
                  </c:pt>
                  <c:pt idx="8">
                    <c:v>Himachal Pradesh</c:v>
                  </c:pt>
                  <c:pt idx="9">
                    <c:v>Jammu &amp; Kashmir</c:v>
                  </c:pt>
                  <c:pt idx="10">
                    <c:v>Punjab</c:v>
                  </c:pt>
                  <c:pt idx="11">
                    <c:v>Uttar Pradesh</c:v>
                  </c:pt>
                  <c:pt idx="12">
                    <c:v>Uttarakhand</c:v>
                  </c:pt>
                  <c:pt idx="13">
                    <c:v>Arunachal Pradesh</c:v>
                  </c:pt>
                  <c:pt idx="14">
                    <c:v>Assam</c:v>
                  </c:pt>
                  <c:pt idx="15">
                    <c:v>Manipur</c:v>
                  </c:pt>
                  <c:pt idx="16">
                    <c:v>Meghalaya</c:v>
                  </c:pt>
                  <c:pt idx="17">
                    <c:v>Mizoram</c:v>
                  </c:pt>
                  <c:pt idx="18">
                    <c:v>Nagaland</c:v>
                  </c:pt>
                  <c:pt idx="19">
                    <c:v>Sikkim</c:v>
                  </c:pt>
                  <c:pt idx="20">
                    <c:v>Tripura</c:v>
                  </c:pt>
                  <c:pt idx="21">
                    <c:v>Andhra Pradesh</c:v>
                  </c:pt>
                  <c:pt idx="22">
                    <c:v>Karnataka</c:v>
                  </c:pt>
                  <c:pt idx="23">
                    <c:v>Kerala</c:v>
                  </c:pt>
                  <c:pt idx="24">
                    <c:v>Tamil Nadu</c:v>
                  </c:pt>
                  <c:pt idx="25">
                    <c:v>A &amp; N Islands</c:v>
                  </c:pt>
                  <c:pt idx="26">
                    <c:v>Chandigarh</c:v>
                  </c:pt>
                  <c:pt idx="27">
                    <c:v>D &amp; N Haveli</c:v>
                  </c:pt>
                  <c:pt idx="28">
                    <c:v>Daman &amp; Diu</c:v>
                  </c:pt>
                  <c:pt idx="29">
                    <c:v>Lakshadweep</c:v>
                  </c:pt>
                  <c:pt idx="30">
                    <c:v>NCT of Delhi</c:v>
                  </c:pt>
                  <c:pt idx="31">
                    <c:v>Puducherry</c:v>
                  </c:pt>
                  <c:pt idx="32">
                    <c:v>Goa</c:v>
                  </c:pt>
                  <c:pt idx="33">
                    <c:v>Gujarat</c:v>
                  </c:pt>
                  <c:pt idx="34">
                    <c:v>Maharashtra</c:v>
                  </c:pt>
                  <c:pt idx="35">
                    <c:v>Rajasthan</c:v>
                  </c:pt>
                </c:lvl>
                <c:lvl>
                  <c:pt idx="0">
                    <c:v>Central</c:v>
                  </c:pt>
                  <c:pt idx="2">
                    <c:v>Country</c:v>
                  </c:pt>
                  <c:pt idx="3">
                    <c:v>East</c:v>
                  </c:pt>
                  <c:pt idx="7">
                    <c:v>North</c:v>
                  </c:pt>
                  <c:pt idx="13">
                    <c:v>North East</c:v>
                  </c:pt>
                  <c:pt idx="21">
                    <c:v>South</c:v>
                  </c:pt>
                  <c:pt idx="25">
                    <c:v>U.T.</c:v>
                  </c:pt>
                  <c:pt idx="32">
                    <c:v>West</c:v>
                  </c:pt>
                </c:lvl>
              </c:multiLvlStrCache>
            </c:multiLvlStrRef>
          </c:cat>
          <c:val>
            <c:numRef>
              <c:f>'1)SEX RATIO COMPLETE'!$E$8:$E$52</c:f>
              <c:numCache>
                <c:formatCode>General</c:formatCode>
                <c:ptCount val="36"/>
                <c:pt idx="0">
                  <c:v>932</c:v>
                </c:pt>
                <c:pt idx="1">
                  <c:v>898</c:v>
                </c:pt>
                <c:pt idx="2">
                  <c:v>900</c:v>
                </c:pt>
                <c:pt idx="3">
                  <c:v>868</c:v>
                </c:pt>
                <c:pt idx="4">
                  <c:v>870</c:v>
                </c:pt>
                <c:pt idx="5">
                  <c:v>895</c:v>
                </c:pt>
                <c:pt idx="6">
                  <c:v>893</c:v>
                </c:pt>
                <c:pt idx="7">
                  <c:v>847</c:v>
                </c:pt>
                <c:pt idx="8">
                  <c:v>795</c:v>
                </c:pt>
                <c:pt idx="9">
                  <c:v>819</c:v>
                </c:pt>
                <c:pt idx="10">
                  <c:v>849</c:v>
                </c:pt>
                <c:pt idx="11">
                  <c:v>876</c:v>
                </c:pt>
                <c:pt idx="12">
                  <c:v>845</c:v>
                </c:pt>
                <c:pt idx="13">
                  <c:v>819</c:v>
                </c:pt>
                <c:pt idx="14">
                  <c:v>872</c:v>
                </c:pt>
                <c:pt idx="15">
                  <c:v>1009</c:v>
                </c:pt>
                <c:pt idx="16">
                  <c:v>982</c:v>
                </c:pt>
                <c:pt idx="17">
                  <c:v>948</c:v>
                </c:pt>
                <c:pt idx="18">
                  <c:v>829</c:v>
                </c:pt>
                <c:pt idx="19">
                  <c:v>830</c:v>
                </c:pt>
                <c:pt idx="20">
                  <c:v>959</c:v>
                </c:pt>
                <c:pt idx="21">
                  <c:v>965</c:v>
                </c:pt>
                <c:pt idx="22">
                  <c:v>942</c:v>
                </c:pt>
                <c:pt idx="23">
                  <c:v>1058</c:v>
                </c:pt>
                <c:pt idx="24">
                  <c:v>982</c:v>
                </c:pt>
                <c:pt idx="25">
                  <c:v>815</c:v>
                </c:pt>
                <c:pt idx="26">
                  <c:v>796</c:v>
                </c:pt>
                <c:pt idx="27">
                  <c:v>691</c:v>
                </c:pt>
                <c:pt idx="28">
                  <c:v>984</c:v>
                </c:pt>
                <c:pt idx="29">
                  <c:v>935</c:v>
                </c:pt>
                <c:pt idx="30">
                  <c:v>822</c:v>
                </c:pt>
                <c:pt idx="31">
                  <c:v>1007</c:v>
                </c:pt>
                <c:pt idx="32">
                  <c:v>934</c:v>
                </c:pt>
                <c:pt idx="33">
                  <c:v>880</c:v>
                </c:pt>
                <c:pt idx="34">
                  <c:v>873</c:v>
                </c:pt>
                <c:pt idx="35">
                  <c:v>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52-4042-9925-45057E87F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-1113161200"/>
        <c:axId val="-1113160656"/>
      </c:barChart>
      <c:catAx>
        <c:axId val="-111316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3160656"/>
        <c:crosses val="autoZero"/>
        <c:auto val="1"/>
        <c:lblAlgn val="ctr"/>
        <c:lblOffset val="100"/>
        <c:noMultiLvlLbl val="0"/>
      </c:catAx>
      <c:valAx>
        <c:axId val="-1113160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316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5180056245248998"/>
          <c:y val="0.134574210674033"/>
          <c:w val="0.42298652667432701"/>
          <c:h val="0.1464225332203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defRPr lang="en-US"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800" b="1" i="0" u="sng" baseline="0">
                <a:solidFill>
                  <a:schemeClr val="accent6">
                    <a:lumMod val="60000"/>
                    <a:lumOff val="40000"/>
                  </a:schemeClr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  <a:latin typeface="AR CENA" panose="02000000000000000000" pitchFamily="2" charset="0"/>
              </a:rPr>
              <a:t>LIteracy Rate vs Sex Ratio Ranks</a:t>
            </a:r>
            <a:endParaRPr lang="en-IN" u="sng">
              <a:solidFill>
                <a:schemeClr val="accent6">
                  <a:lumMod val="60000"/>
                  <a:lumOff val="40000"/>
                </a:schemeClr>
              </a:solidFill>
              <a:effectLst/>
              <a:latin typeface="AR CENA" panose="02000000000000000000" pitchFamily="2" charset="0"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defRPr>
                <a:solidFill>
                  <a:sysClr val="window" lastClr="FFFFFF">
                    <a:lumMod val="95000"/>
                  </a:sysClr>
                </a:solidFill>
              </a:defRPr>
            </a:pPr>
            <a:endParaRPr lang="en-IN"/>
          </a:p>
        </c:rich>
      </c:tx>
      <c:layout>
        <c:manualLayout>
          <c:xMode val="edge"/>
          <c:yMode val="edge"/>
          <c:x val="0.31314522701236902"/>
          <c:y val="4.03509448576359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 lang="en-US" sz="1600" b="1" i="0" u="none" strike="noStrike" kern="1200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'6)LR_VS_SR_PIVOT'!$B$3</c:f>
              <c:strCache>
                <c:ptCount val="1"/>
                <c:pt idx="0">
                  <c:v>Sum of RANK(L.R.)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'6)LR_VS_SR_PIVOT'!$A$4:$A$39</c:f>
              <c:strCache>
                <c:ptCount val="36"/>
                <c:pt idx="0">
                  <c:v>West Bengal</c:v>
                </c:pt>
                <c:pt idx="1">
                  <c:v>A &amp; N Islands</c:v>
                </c:pt>
                <c:pt idx="2">
                  <c:v>Andhra Pradesh</c:v>
                </c:pt>
                <c:pt idx="3">
                  <c:v>Arunachal Pradesh</c:v>
                </c:pt>
                <c:pt idx="4">
                  <c:v>Assam</c:v>
                </c:pt>
                <c:pt idx="5">
                  <c:v>Bihar</c:v>
                </c:pt>
                <c:pt idx="6">
                  <c:v>Chandigarh</c:v>
                </c:pt>
                <c:pt idx="7">
                  <c:v>Chhattisgarh</c:v>
                </c:pt>
                <c:pt idx="8">
                  <c:v>D &amp; N Haveli</c:v>
                </c:pt>
                <c:pt idx="9">
                  <c:v>Daman &amp; Diu</c:v>
                </c:pt>
                <c:pt idx="10">
                  <c:v>Goa</c:v>
                </c:pt>
                <c:pt idx="11">
                  <c:v>Gujarat</c:v>
                </c:pt>
                <c:pt idx="12">
                  <c:v>Haryana</c:v>
                </c:pt>
                <c:pt idx="13">
                  <c:v>Himachal Pradesh</c:v>
                </c:pt>
                <c:pt idx="14">
                  <c:v>Jammu &amp; Kashmir</c:v>
                </c:pt>
                <c:pt idx="15">
                  <c:v>Jharkhand</c:v>
                </c:pt>
                <c:pt idx="16">
                  <c:v>Karnataka</c:v>
                </c:pt>
                <c:pt idx="17">
                  <c:v>Kerala</c:v>
                </c:pt>
                <c:pt idx="18">
                  <c:v>Lakshadweep</c:v>
                </c:pt>
                <c:pt idx="19">
                  <c:v>Madhya Pradesh</c:v>
                </c:pt>
                <c:pt idx="20">
                  <c:v>Maharashtra</c:v>
                </c:pt>
                <c:pt idx="21">
                  <c:v>Manipur</c:v>
                </c:pt>
                <c:pt idx="22">
                  <c:v>Meghalaya</c:v>
                </c:pt>
                <c:pt idx="23">
                  <c:v>Mizoram</c:v>
                </c:pt>
                <c:pt idx="24">
                  <c:v>Nagaland</c:v>
                </c:pt>
                <c:pt idx="25">
                  <c:v>NCT of Delhi</c:v>
                </c:pt>
                <c:pt idx="26">
                  <c:v>Odisha</c:v>
                </c:pt>
                <c:pt idx="27">
                  <c:v>Puducherry</c:v>
                </c:pt>
                <c:pt idx="28">
                  <c:v>Punjab</c:v>
                </c:pt>
                <c:pt idx="29">
                  <c:v>Rajasthan</c:v>
                </c:pt>
                <c:pt idx="30">
                  <c:v>Sikkim</c:v>
                </c:pt>
                <c:pt idx="31">
                  <c:v>Tamil Nadu</c:v>
                </c:pt>
                <c:pt idx="32">
                  <c:v>Tripura</c:v>
                </c:pt>
                <c:pt idx="33">
                  <c:v>Uttar Pradesh</c:v>
                </c:pt>
                <c:pt idx="34">
                  <c:v>Uttarakhand</c:v>
                </c:pt>
                <c:pt idx="35">
                  <c:v>Grand Total</c:v>
                </c:pt>
              </c:strCache>
            </c:strRef>
          </c:cat>
          <c:val>
            <c:numRef>
              <c:f>'6)LR_VS_SR_PIVOT'!$B$4:$B$39</c:f>
              <c:numCache>
                <c:formatCode>General</c:formatCode>
                <c:ptCount val="36"/>
                <c:pt idx="0">
                  <c:v>20</c:v>
                </c:pt>
                <c:pt idx="1">
                  <c:v>10</c:v>
                </c:pt>
                <c:pt idx="2">
                  <c:v>32</c:v>
                </c:pt>
                <c:pt idx="3">
                  <c:v>35</c:v>
                </c:pt>
                <c:pt idx="4">
                  <c:v>27</c:v>
                </c:pt>
                <c:pt idx="5">
                  <c:v>36</c:v>
                </c:pt>
                <c:pt idx="6">
                  <c:v>8</c:v>
                </c:pt>
                <c:pt idx="7">
                  <c:v>28</c:v>
                </c:pt>
                <c:pt idx="8">
                  <c:v>19</c:v>
                </c:pt>
                <c:pt idx="9">
                  <c:v>6</c:v>
                </c:pt>
                <c:pt idx="10">
                  <c:v>5</c:v>
                </c:pt>
                <c:pt idx="11">
                  <c:v>18</c:v>
                </c:pt>
                <c:pt idx="12">
                  <c:v>22</c:v>
                </c:pt>
                <c:pt idx="13">
                  <c:v>11</c:v>
                </c:pt>
                <c:pt idx="14">
                  <c:v>31</c:v>
                </c:pt>
                <c:pt idx="15">
                  <c:v>33</c:v>
                </c:pt>
                <c:pt idx="16">
                  <c:v>23</c:v>
                </c:pt>
                <c:pt idx="17">
                  <c:v>1</c:v>
                </c:pt>
                <c:pt idx="18">
                  <c:v>2</c:v>
                </c:pt>
                <c:pt idx="19">
                  <c:v>29</c:v>
                </c:pt>
                <c:pt idx="20">
                  <c:v>12</c:v>
                </c:pt>
                <c:pt idx="21">
                  <c:v>16</c:v>
                </c:pt>
                <c:pt idx="22">
                  <c:v>24</c:v>
                </c:pt>
                <c:pt idx="23">
                  <c:v>3</c:v>
                </c:pt>
                <c:pt idx="24">
                  <c:v>15</c:v>
                </c:pt>
                <c:pt idx="25">
                  <c:v>9</c:v>
                </c:pt>
                <c:pt idx="26">
                  <c:v>26</c:v>
                </c:pt>
                <c:pt idx="27">
                  <c:v>7</c:v>
                </c:pt>
                <c:pt idx="28">
                  <c:v>21</c:v>
                </c:pt>
                <c:pt idx="29">
                  <c:v>34</c:v>
                </c:pt>
                <c:pt idx="30">
                  <c:v>13</c:v>
                </c:pt>
                <c:pt idx="31">
                  <c:v>14</c:v>
                </c:pt>
                <c:pt idx="32">
                  <c:v>4</c:v>
                </c:pt>
                <c:pt idx="33">
                  <c:v>30</c:v>
                </c:pt>
                <c:pt idx="34">
                  <c:v>17</c:v>
                </c:pt>
                <c:pt idx="35">
                  <c:v>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49-4A32-BBAD-29AFD1FCCE55}"/>
            </c:ext>
          </c:extLst>
        </c:ser>
        <c:ser>
          <c:idx val="1"/>
          <c:order val="1"/>
          <c:tx>
            <c:strRef>
              <c:f>'6)LR_VS_SR_PIVOT'!$C$3</c:f>
              <c:strCache>
                <c:ptCount val="1"/>
                <c:pt idx="0">
                  <c:v>Sum of RANK(S.R.)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'6)LR_VS_SR_PIVOT'!$A$4:$A$39</c:f>
              <c:strCache>
                <c:ptCount val="36"/>
                <c:pt idx="0">
                  <c:v>West Bengal</c:v>
                </c:pt>
                <c:pt idx="1">
                  <c:v>A &amp; N Islands</c:v>
                </c:pt>
                <c:pt idx="2">
                  <c:v>Andhra Pradesh</c:v>
                </c:pt>
                <c:pt idx="3">
                  <c:v>Arunachal Pradesh</c:v>
                </c:pt>
                <c:pt idx="4">
                  <c:v>Assam</c:v>
                </c:pt>
                <c:pt idx="5">
                  <c:v>Bihar</c:v>
                </c:pt>
                <c:pt idx="6">
                  <c:v>Chandigarh</c:v>
                </c:pt>
                <c:pt idx="7">
                  <c:v>Chhattisgarh</c:v>
                </c:pt>
                <c:pt idx="8">
                  <c:v>D &amp; N Haveli</c:v>
                </c:pt>
                <c:pt idx="9">
                  <c:v>Daman &amp; Diu</c:v>
                </c:pt>
                <c:pt idx="10">
                  <c:v>Goa</c:v>
                </c:pt>
                <c:pt idx="11">
                  <c:v>Gujarat</c:v>
                </c:pt>
                <c:pt idx="12">
                  <c:v>Haryana</c:v>
                </c:pt>
                <c:pt idx="13">
                  <c:v>Himachal Pradesh</c:v>
                </c:pt>
                <c:pt idx="14">
                  <c:v>Jammu &amp; Kashmir</c:v>
                </c:pt>
                <c:pt idx="15">
                  <c:v>Jharkhand</c:v>
                </c:pt>
                <c:pt idx="16">
                  <c:v>Karnataka</c:v>
                </c:pt>
                <c:pt idx="17">
                  <c:v>Kerala</c:v>
                </c:pt>
                <c:pt idx="18">
                  <c:v>Lakshadweep</c:v>
                </c:pt>
                <c:pt idx="19">
                  <c:v>Madhya Pradesh</c:v>
                </c:pt>
                <c:pt idx="20">
                  <c:v>Maharashtra</c:v>
                </c:pt>
                <c:pt idx="21">
                  <c:v>Manipur</c:v>
                </c:pt>
                <c:pt idx="22">
                  <c:v>Meghalaya</c:v>
                </c:pt>
                <c:pt idx="23">
                  <c:v>Mizoram</c:v>
                </c:pt>
                <c:pt idx="24">
                  <c:v>Nagaland</c:v>
                </c:pt>
                <c:pt idx="25">
                  <c:v>NCT of Delhi</c:v>
                </c:pt>
                <c:pt idx="26">
                  <c:v>Odisha</c:v>
                </c:pt>
                <c:pt idx="27">
                  <c:v>Puducherry</c:v>
                </c:pt>
                <c:pt idx="28">
                  <c:v>Punjab</c:v>
                </c:pt>
                <c:pt idx="29">
                  <c:v>Rajasthan</c:v>
                </c:pt>
                <c:pt idx="30">
                  <c:v>Sikkim</c:v>
                </c:pt>
                <c:pt idx="31">
                  <c:v>Tamil Nadu</c:v>
                </c:pt>
                <c:pt idx="32">
                  <c:v>Tripura</c:v>
                </c:pt>
                <c:pt idx="33">
                  <c:v>Uttar Pradesh</c:v>
                </c:pt>
                <c:pt idx="34">
                  <c:v>Uttarakhand</c:v>
                </c:pt>
                <c:pt idx="35">
                  <c:v>Grand Total</c:v>
                </c:pt>
              </c:strCache>
            </c:strRef>
          </c:cat>
          <c:val>
            <c:numRef>
              <c:f>'6)LR_VS_SR_PIVOT'!$C$4:$C$39</c:f>
              <c:numCache>
                <c:formatCode>General</c:formatCode>
                <c:ptCount val="36"/>
                <c:pt idx="0">
                  <c:v>15</c:v>
                </c:pt>
                <c:pt idx="1">
                  <c:v>30</c:v>
                </c:pt>
                <c:pt idx="2">
                  <c:v>4</c:v>
                </c:pt>
                <c:pt idx="3">
                  <c:v>19</c:v>
                </c:pt>
                <c:pt idx="4">
                  <c:v>14</c:v>
                </c:pt>
                <c:pt idx="5">
                  <c:v>24</c:v>
                </c:pt>
                <c:pt idx="6">
                  <c:v>32</c:v>
                </c:pt>
                <c:pt idx="7">
                  <c:v>5</c:v>
                </c:pt>
                <c:pt idx="8">
                  <c:v>33</c:v>
                </c:pt>
                <c:pt idx="9">
                  <c:v>34</c:v>
                </c:pt>
                <c:pt idx="10">
                  <c:v>10</c:v>
                </c:pt>
                <c:pt idx="11">
                  <c:v>23</c:v>
                </c:pt>
                <c:pt idx="12">
                  <c:v>29</c:v>
                </c:pt>
                <c:pt idx="13">
                  <c:v>11</c:v>
                </c:pt>
                <c:pt idx="14">
                  <c:v>28</c:v>
                </c:pt>
                <c:pt idx="15">
                  <c:v>16</c:v>
                </c:pt>
                <c:pt idx="16">
                  <c:v>10</c:v>
                </c:pt>
                <c:pt idx="17">
                  <c:v>1</c:v>
                </c:pt>
                <c:pt idx="18">
                  <c:v>17</c:v>
                </c:pt>
                <c:pt idx="19">
                  <c:v>20</c:v>
                </c:pt>
                <c:pt idx="20">
                  <c:v>21</c:v>
                </c:pt>
                <c:pt idx="21">
                  <c:v>7</c:v>
                </c:pt>
                <c:pt idx="22">
                  <c:v>6</c:v>
                </c:pt>
                <c:pt idx="23">
                  <c:v>9</c:v>
                </c:pt>
                <c:pt idx="24">
                  <c:v>20</c:v>
                </c:pt>
                <c:pt idx="25">
                  <c:v>31</c:v>
                </c:pt>
                <c:pt idx="26">
                  <c:v>8</c:v>
                </c:pt>
                <c:pt idx="27">
                  <c:v>2</c:v>
                </c:pt>
                <c:pt idx="28">
                  <c:v>26</c:v>
                </c:pt>
                <c:pt idx="29">
                  <c:v>22</c:v>
                </c:pt>
                <c:pt idx="30">
                  <c:v>27</c:v>
                </c:pt>
                <c:pt idx="31">
                  <c:v>3</c:v>
                </c:pt>
                <c:pt idx="32">
                  <c:v>13</c:v>
                </c:pt>
                <c:pt idx="33">
                  <c:v>25</c:v>
                </c:pt>
                <c:pt idx="34">
                  <c:v>12</c:v>
                </c:pt>
                <c:pt idx="35">
                  <c:v>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49-4A32-BBAD-29AFD1FCC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113162288"/>
        <c:axId val="-1113165008"/>
      </c:barChart>
      <c:catAx>
        <c:axId val="-111316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3165008"/>
        <c:crosses val="autoZero"/>
        <c:auto val="1"/>
        <c:lblAlgn val="ctr"/>
        <c:lblOffset val="100"/>
        <c:noMultiLvlLbl val="0"/>
      </c:catAx>
      <c:valAx>
        <c:axId val="-11131650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316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u="sng">
                <a:solidFill>
                  <a:schemeClr val="accent6">
                    <a:lumMod val="60000"/>
                    <a:lumOff val="40000"/>
                  </a:schemeClr>
                </a:solidFill>
                <a:latin typeface="AR CENA" panose="02000000000000000000" pitchFamily="2" charset="0"/>
              </a:rPr>
              <a:t>Decadal</a:t>
            </a:r>
            <a:r>
              <a:rPr lang="en-IN" u="sng" baseline="0">
                <a:solidFill>
                  <a:schemeClr val="accent6">
                    <a:lumMod val="60000"/>
                    <a:lumOff val="40000"/>
                  </a:schemeClr>
                </a:solidFill>
                <a:latin typeface="AR CENA" panose="02000000000000000000" pitchFamily="2" charset="0"/>
              </a:rPr>
              <a:t> Growth Rate vs Sex Ratio Ranks</a:t>
            </a:r>
            <a:endParaRPr lang="en-IN" u="sng">
              <a:solidFill>
                <a:schemeClr val="accent6">
                  <a:lumMod val="60000"/>
                  <a:lumOff val="40000"/>
                </a:schemeClr>
              </a:solidFill>
              <a:latin typeface="AR CENA" panose="02000000000000000000" pitchFamily="2" charset="0"/>
            </a:endParaRPr>
          </a:p>
        </c:rich>
      </c:tx>
      <c:layout>
        <c:manualLayout>
          <c:xMode val="edge"/>
          <c:yMode val="edge"/>
          <c:x val="0.26928671418855898"/>
          <c:y val="1.820909598111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418882985818997E-2"/>
          <c:y val="4.2334920892866799E-2"/>
          <c:w val="0.83339849041882597"/>
          <c:h val="0.789632319545315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'7)DGR_VS_SR_PIVOT'!$B$3</c:f>
              <c:strCache>
                <c:ptCount val="1"/>
                <c:pt idx="0">
                  <c:v>RANK DIFF.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'7)DGR_VS_SR_PIVOT'!$A$4:$A$39</c:f>
              <c:strCache>
                <c:ptCount val="36"/>
                <c:pt idx="0">
                  <c:v>A &amp; N Islands</c:v>
                </c:pt>
                <c:pt idx="1">
                  <c:v>Andhra Pradesh</c:v>
                </c:pt>
                <c:pt idx="2">
                  <c:v>Arunachal Pradesh</c:v>
                </c:pt>
                <c:pt idx="3">
                  <c:v>Assam</c:v>
                </c:pt>
                <c:pt idx="4">
                  <c:v>Bihar</c:v>
                </c:pt>
                <c:pt idx="5">
                  <c:v>Chandigarh</c:v>
                </c:pt>
                <c:pt idx="6">
                  <c:v>Chhattisgarh</c:v>
                </c:pt>
                <c:pt idx="7">
                  <c:v>D &amp; N Haveli</c:v>
                </c:pt>
                <c:pt idx="8">
                  <c:v>Daman &amp; Diu</c:v>
                </c:pt>
                <c:pt idx="9">
                  <c:v>Goa</c:v>
                </c:pt>
                <c:pt idx="10">
                  <c:v>Gujarat</c:v>
                </c:pt>
                <c:pt idx="11">
                  <c:v>Haryana</c:v>
                </c:pt>
                <c:pt idx="12">
                  <c:v>Himachal Pradesh</c:v>
                </c:pt>
                <c:pt idx="13">
                  <c:v>Jammu &amp; Kashmir</c:v>
                </c:pt>
                <c:pt idx="14">
                  <c:v>Jharkhand</c:v>
                </c:pt>
                <c:pt idx="15">
                  <c:v>Karnataka</c:v>
                </c:pt>
                <c:pt idx="16">
                  <c:v>Kerala</c:v>
                </c:pt>
                <c:pt idx="17">
                  <c:v>Lakshadweep</c:v>
                </c:pt>
                <c:pt idx="18">
                  <c:v>Madhya Pradesh</c:v>
                </c:pt>
                <c:pt idx="19">
                  <c:v>Maharashtra</c:v>
                </c:pt>
                <c:pt idx="20">
                  <c:v>Manipur</c:v>
                </c:pt>
                <c:pt idx="21">
                  <c:v>Meghalaya</c:v>
                </c:pt>
                <c:pt idx="22">
                  <c:v>Mizoram</c:v>
                </c:pt>
                <c:pt idx="23">
                  <c:v>Nagaland</c:v>
                </c:pt>
                <c:pt idx="24">
                  <c:v>NCT of Delhi</c:v>
                </c:pt>
                <c:pt idx="25">
                  <c:v>Odisha</c:v>
                </c:pt>
                <c:pt idx="26">
                  <c:v>Puducherry</c:v>
                </c:pt>
                <c:pt idx="27">
                  <c:v>Punjab</c:v>
                </c:pt>
                <c:pt idx="28">
                  <c:v>Rajasthan</c:v>
                </c:pt>
                <c:pt idx="29">
                  <c:v>Sikkim</c:v>
                </c:pt>
                <c:pt idx="30">
                  <c:v>Tamil Nadu</c:v>
                </c:pt>
                <c:pt idx="31">
                  <c:v>Tripura</c:v>
                </c:pt>
                <c:pt idx="32">
                  <c:v>Uttar Pradesh</c:v>
                </c:pt>
                <c:pt idx="33">
                  <c:v>Uttarakhand</c:v>
                </c:pt>
                <c:pt idx="34">
                  <c:v>West Bengal</c:v>
                </c:pt>
                <c:pt idx="35">
                  <c:v>Grand Total</c:v>
                </c:pt>
              </c:strCache>
            </c:strRef>
          </c:cat>
          <c:val>
            <c:numRef>
              <c:f>'7)DGR_VS_SR_PIVOT'!$B$4:$B$39</c:f>
              <c:numCache>
                <c:formatCode>General</c:formatCode>
                <c:ptCount val="36"/>
                <c:pt idx="0">
                  <c:v>7</c:v>
                </c:pt>
                <c:pt idx="1">
                  <c:v>15.5</c:v>
                </c:pt>
                <c:pt idx="2">
                  <c:v>2</c:v>
                </c:pt>
                <c:pt idx="3">
                  <c:v>9</c:v>
                </c:pt>
                <c:pt idx="4">
                  <c:v>31.5</c:v>
                </c:pt>
                <c:pt idx="5">
                  <c:v>4.5</c:v>
                </c:pt>
                <c:pt idx="6">
                  <c:v>28</c:v>
                </c:pt>
                <c:pt idx="7">
                  <c:v>34</c:v>
                </c:pt>
                <c:pt idx="8">
                  <c:v>35</c:v>
                </c:pt>
                <c:pt idx="9">
                  <c:v>19</c:v>
                </c:pt>
                <c:pt idx="10">
                  <c:v>31.5</c:v>
                </c:pt>
                <c:pt idx="11">
                  <c:v>11</c:v>
                </c:pt>
                <c:pt idx="12">
                  <c:v>27</c:v>
                </c:pt>
                <c:pt idx="13">
                  <c:v>33</c:v>
                </c:pt>
                <c:pt idx="14">
                  <c:v>25</c:v>
                </c:pt>
                <c:pt idx="15">
                  <c:v>21</c:v>
                </c:pt>
                <c:pt idx="16">
                  <c:v>8</c:v>
                </c:pt>
                <c:pt idx="17">
                  <c:v>32</c:v>
                </c:pt>
                <c:pt idx="18">
                  <c:v>19</c:v>
                </c:pt>
                <c:pt idx="19">
                  <c:v>25</c:v>
                </c:pt>
                <c:pt idx="20">
                  <c:v>25</c:v>
                </c:pt>
                <c:pt idx="21">
                  <c:v>12</c:v>
                </c:pt>
                <c:pt idx="22">
                  <c:v>4.5</c:v>
                </c:pt>
                <c:pt idx="23">
                  <c:v>6</c:v>
                </c:pt>
                <c:pt idx="24">
                  <c:v>1</c:v>
                </c:pt>
                <c:pt idx="25">
                  <c:v>25</c:v>
                </c:pt>
                <c:pt idx="26">
                  <c:v>5</c:v>
                </c:pt>
                <c:pt idx="27">
                  <c:v>10</c:v>
                </c:pt>
                <c:pt idx="28">
                  <c:v>25</c:v>
                </c:pt>
                <c:pt idx="29">
                  <c:v>15.5</c:v>
                </c:pt>
                <c:pt idx="30">
                  <c:v>20</c:v>
                </c:pt>
                <c:pt idx="31">
                  <c:v>19</c:v>
                </c:pt>
                <c:pt idx="32">
                  <c:v>16</c:v>
                </c:pt>
                <c:pt idx="33">
                  <c:v>29</c:v>
                </c:pt>
                <c:pt idx="34">
                  <c:v>13</c:v>
                </c:pt>
                <c:pt idx="35">
                  <c:v>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10-48AA-8586-4BB5A1A4F068}"/>
            </c:ext>
          </c:extLst>
        </c:ser>
        <c:ser>
          <c:idx val="1"/>
          <c:order val="1"/>
          <c:tx>
            <c:strRef>
              <c:f>'7)DGR_VS_SR_PIVOT'!$C$3</c:f>
              <c:strCache>
                <c:ptCount val="1"/>
                <c:pt idx="0">
                  <c:v>RANK DGR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'7)DGR_VS_SR_PIVOT'!$A$4:$A$39</c:f>
              <c:strCache>
                <c:ptCount val="36"/>
                <c:pt idx="0">
                  <c:v>A &amp; N Islands</c:v>
                </c:pt>
                <c:pt idx="1">
                  <c:v>Andhra Pradesh</c:v>
                </c:pt>
                <c:pt idx="2">
                  <c:v>Arunachal Pradesh</c:v>
                </c:pt>
                <c:pt idx="3">
                  <c:v>Assam</c:v>
                </c:pt>
                <c:pt idx="4">
                  <c:v>Bihar</c:v>
                </c:pt>
                <c:pt idx="5">
                  <c:v>Chandigarh</c:v>
                </c:pt>
                <c:pt idx="6">
                  <c:v>Chhattisgarh</c:v>
                </c:pt>
                <c:pt idx="7">
                  <c:v>D &amp; N Haveli</c:v>
                </c:pt>
                <c:pt idx="8">
                  <c:v>Daman &amp; Diu</c:v>
                </c:pt>
                <c:pt idx="9">
                  <c:v>Goa</c:v>
                </c:pt>
                <c:pt idx="10">
                  <c:v>Gujarat</c:v>
                </c:pt>
                <c:pt idx="11">
                  <c:v>Haryana</c:v>
                </c:pt>
                <c:pt idx="12">
                  <c:v>Himachal Pradesh</c:v>
                </c:pt>
                <c:pt idx="13">
                  <c:v>Jammu &amp; Kashmir</c:v>
                </c:pt>
                <c:pt idx="14">
                  <c:v>Jharkhand</c:v>
                </c:pt>
                <c:pt idx="15">
                  <c:v>Karnataka</c:v>
                </c:pt>
                <c:pt idx="16">
                  <c:v>Kerala</c:v>
                </c:pt>
                <c:pt idx="17">
                  <c:v>Lakshadweep</c:v>
                </c:pt>
                <c:pt idx="18">
                  <c:v>Madhya Pradesh</c:v>
                </c:pt>
                <c:pt idx="19">
                  <c:v>Maharashtra</c:v>
                </c:pt>
                <c:pt idx="20">
                  <c:v>Manipur</c:v>
                </c:pt>
                <c:pt idx="21">
                  <c:v>Meghalaya</c:v>
                </c:pt>
                <c:pt idx="22">
                  <c:v>Mizoram</c:v>
                </c:pt>
                <c:pt idx="23">
                  <c:v>Nagaland</c:v>
                </c:pt>
                <c:pt idx="24">
                  <c:v>NCT of Delhi</c:v>
                </c:pt>
                <c:pt idx="25">
                  <c:v>Odisha</c:v>
                </c:pt>
                <c:pt idx="26">
                  <c:v>Puducherry</c:v>
                </c:pt>
                <c:pt idx="27">
                  <c:v>Punjab</c:v>
                </c:pt>
                <c:pt idx="28">
                  <c:v>Rajasthan</c:v>
                </c:pt>
                <c:pt idx="29">
                  <c:v>Sikkim</c:v>
                </c:pt>
                <c:pt idx="30">
                  <c:v>Tamil Nadu</c:v>
                </c:pt>
                <c:pt idx="31">
                  <c:v>Tripura</c:v>
                </c:pt>
                <c:pt idx="32">
                  <c:v>Uttar Pradesh</c:v>
                </c:pt>
                <c:pt idx="33">
                  <c:v>Uttarakhand</c:v>
                </c:pt>
                <c:pt idx="34">
                  <c:v>West Bengal</c:v>
                </c:pt>
                <c:pt idx="35">
                  <c:v>Grand Total</c:v>
                </c:pt>
              </c:strCache>
            </c:strRef>
          </c:cat>
          <c:val>
            <c:numRef>
              <c:f>'7)DGR_VS_SR_PIVOT'!$C$4:$C$39</c:f>
              <c:numCache>
                <c:formatCode>General</c:formatCode>
                <c:ptCount val="36"/>
                <c:pt idx="0">
                  <c:v>32</c:v>
                </c:pt>
                <c:pt idx="1">
                  <c:v>30</c:v>
                </c:pt>
                <c:pt idx="2">
                  <c:v>5</c:v>
                </c:pt>
                <c:pt idx="3">
                  <c:v>20</c:v>
                </c:pt>
                <c:pt idx="4">
                  <c:v>6</c:v>
                </c:pt>
                <c:pt idx="5">
                  <c:v>19</c:v>
                </c:pt>
                <c:pt idx="6">
                  <c:v>10</c:v>
                </c:pt>
                <c:pt idx="7">
                  <c:v>1</c:v>
                </c:pt>
                <c:pt idx="8">
                  <c:v>2</c:v>
                </c:pt>
                <c:pt idx="9">
                  <c:v>31</c:v>
                </c:pt>
                <c:pt idx="10">
                  <c:v>17</c:v>
                </c:pt>
                <c:pt idx="11">
                  <c:v>16</c:v>
                </c:pt>
                <c:pt idx="12">
                  <c:v>29.5</c:v>
                </c:pt>
                <c:pt idx="13">
                  <c:v>8</c:v>
                </c:pt>
                <c:pt idx="14">
                  <c:v>11</c:v>
                </c:pt>
                <c:pt idx="15">
                  <c:v>23.5</c:v>
                </c:pt>
                <c:pt idx="16">
                  <c:v>34</c:v>
                </c:pt>
                <c:pt idx="17">
                  <c:v>33</c:v>
                </c:pt>
                <c:pt idx="18">
                  <c:v>14</c:v>
                </c:pt>
                <c:pt idx="19">
                  <c:v>21</c:v>
                </c:pt>
                <c:pt idx="20">
                  <c:v>7</c:v>
                </c:pt>
                <c:pt idx="21">
                  <c:v>4</c:v>
                </c:pt>
                <c:pt idx="22">
                  <c:v>9</c:v>
                </c:pt>
                <c:pt idx="23">
                  <c:v>35</c:v>
                </c:pt>
                <c:pt idx="24">
                  <c:v>13</c:v>
                </c:pt>
                <c:pt idx="25">
                  <c:v>25</c:v>
                </c:pt>
                <c:pt idx="26">
                  <c:v>3</c:v>
                </c:pt>
                <c:pt idx="27">
                  <c:v>26</c:v>
                </c:pt>
                <c:pt idx="28">
                  <c:v>12</c:v>
                </c:pt>
                <c:pt idx="29">
                  <c:v>29.5</c:v>
                </c:pt>
                <c:pt idx="30">
                  <c:v>23.5</c:v>
                </c:pt>
                <c:pt idx="31">
                  <c:v>24</c:v>
                </c:pt>
                <c:pt idx="32">
                  <c:v>15</c:v>
                </c:pt>
                <c:pt idx="33">
                  <c:v>18</c:v>
                </c:pt>
                <c:pt idx="34">
                  <c:v>27</c:v>
                </c:pt>
                <c:pt idx="35">
                  <c:v>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10-48AA-8586-4BB5A1A4F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293398752"/>
        <c:axId val="-1062858928"/>
      </c:barChart>
      <c:catAx>
        <c:axId val="-129339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58928"/>
        <c:crosses val="autoZero"/>
        <c:auto val="1"/>
        <c:lblAlgn val="ctr"/>
        <c:lblOffset val="100"/>
        <c:noMultiLvlLbl val="0"/>
      </c:catAx>
      <c:valAx>
        <c:axId val="-10628589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9339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etp project vba POWERPIVOT (2) (2).xlsm]1)SEX RATIO COMPLETE!complete_graph_pivot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'1)SEX RATIO COMPLETE'!$B$7</c:f>
              <c:strCache>
                <c:ptCount val="1"/>
                <c:pt idx="0">
                  <c:v>Sum of  Rural - 2011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multiLvlStrRef>
              <c:f>'1)SEX RATIO COMPLETE'!$A$8:$A$52</c:f>
              <c:multiLvlStrCache>
                <c:ptCount val="36"/>
                <c:lvl>
                  <c:pt idx="0">
                    <c:v>Chhattisgarh</c:v>
                  </c:pt>
                  <c:pt idx="1">
                    <c:v>Madhya Pradesh</c:v>
                  </c:pt>
                  <c:pt idx="2">
                    <c:v>INDIA</c:v>
                  </c:pt>
                  <c:pt idx="3">
                    <c:v>Bihar</c:v>
                  </c:pt>
                  <c:pt idx="4">
                    <c:v>Jharkhand</c:v>
                  </c:pt>
                  <c:pt idx="5">
                    <c:v>Odisha</c:v>
                  </c:pt>
                  <c:pt idx="6">
                    <c:v>West Bengal</c:v>
                  </c:pt>
                  <c:pt idx="7">
                    <c:v>Haryana</c:v>
                  </c:pt>
                  <c:pt idx="8">
                    <c:v>Himachal Pradesh</c:v>
                  </c:pt>
                  <c:pt idx="9">
                    <c:v>Jammu &amp; Kashmir</c:v>
                  </c:pt>
                  <c:pt idx="10">
                    <c:v>Punjab</c:v>
                  </c:pt>
                  <c:pt idx="11">
                    <c:v>Uttar Pradesh</c:v>
                  </c:pt>
                  <c:pt idx="12">
                    <c:v>Uttarakhand</c:v>
                  </c:pt>
                  <c:pt idx="13">
                    <c:v>Arunachal Pradesh</c:v>
                  </c:pt>
                  <c:pt idx="14">
                    <c:v>Assam</c:v>
                  </c:pt>
                  <c:pt idx="15">
                    <c:v>Manipur</c:v>
                  </c:pt>
                  <c:pt idx="16">
                    <c:v>Meghalaya</c:v>
                  </c:pt>
                  <c:pt idx="17">
                    <c:v>Mizoram</c:v>
                  </c:pt>
                  <c:pt idx="18">
                    <c:v>Nagaland</c:v>
                  </c:pt>
                  <c:pt idx="19">
                    <c:v>Sikkim</c:v>
                  </c:pt>
                  <c:pt idx="20">
                    <c:v>Tripura</c:v>
                  </c:pt>
                  <c:pt idx="21">
                    <c:v>Andhra Pradesh</c:v>
                  </c:pt>
                  <c:pt idx="22">
                    <c:v>Karnataka</c:v>
                  </c:pt>
                  <c:pt idx="23">
                    <c:v>Kerala</c:v>
                  </c:pt>
                  <c:pt idx="24">
                    <c:v>Tamil Nadu</c:v>
                  </c:pt>
                  <c:pt idx="25">
                    <c:v>A &amp; N Islands</c:v>
                  </c:pt>
                  <c:pt idx="26">
                    <c:v>Chandigarh</c:v>
                  </c:pt>
                  <c:pt idx="27">
                    <c:v>D &amp; N Haveli</c:v>
                  </c:pt>
                  <c:pt idx="28">
                    <c:v>Daman &amp; Diu</c:v>
                  </c:pt>
                  <c:pt idx="29">
                    <c:v>Lakshadweep</c:v>
                  </c:pt>
                  <c:pt idx="30">
                    <c:v>NCT of Delhi</c:v>
                  </c:pt>
                  <c:pt idx="31">
                    <c:v>Puducherry</c:v>
                  </c:pt>
                  <c:pt idx="32">
                    <c:v>Goa</c:v>
                  </c:pt>
                  <c:pt idx="33">
                    <c:v>Gujarat</c:v>
                  </c:pt>
                  <c:pt idx="34">
                    <c:v>Maharashtra</c:v>
                  </c:pt>
                  <c:pt idx="35">
                    <c:v>Rajasthan</c:v>
                  </c:pt>
                </c:lvl>
                <c:lvl>
                  <c:pt idx="0">
                    <c:v>Central</c:v>
                  </c:pt>
                  <c:pt idx="2">
                    <c:v>Country</c:v>
                  </c:pt>
                  <c:pt idx="3">
                    <c:v>East</c:v>
                  </c:pt>
                  <c:pt idx="7">
                    <c:v>North</c:v>
                  </c:pt>
                  <c:pt idx="13">
                    <c:v>North East</c:v>
                  </c:pt>
                  <c:pt idx="21">
                    <c:v>South</c:v>
                  </c:pt>
                  <c:pt idx="25">
                    <c:v>U.T.</c:v>
                  </c:pt>
                  <c:pt idx="32">
                    <c:v>West</c:v>
                  </c:pt>
                </c:lvl>
              </c:multiLvlStrCache>
            </c:multiLvlStrRef>
          </c:cat>
          <c:val>
            <c:numRef>
              <c:f>'1)SEX RATIO COMPLETE'!$B$8:$B$52</c:f>
              <c:numCache>
                <c:formatCode>General</c:formatCode>
                <c:ptCount val="36"/>
                <c:pt idx="0">
                  <c:v>1001</c:v>
                </c:pt>
                <c:pt idx="1">
                  <c:v>936</c:v>
                </c:pt>
                <c:pt idx="2">
                  <c:v>949</c:v>
                </c:pt>
                <c:pt idx="3">
                  <c:v>921</c:v>
                </c:pt>
                <c:pt idx="4">
                  <c:v>961</c:v>
                </c:pt>
                <c:pt idx="5">
                  <c:v>989</c:v>
                </c:pt>
                <c:pt idx="6">
                  <c:v>953</c:v>
                </c:pt>
                <c:pt idx="7">
                  <c:v>882</c:v>
                </c:pt>
                <c:pt idx="8">
                  <c:v>986</c:v>
                </c:pt>
                <c:pt idx="9">
                  <c:v>908</c:v>
                </c:pt>
                <c:pt idx="10">
                  <c:v>907</c:v>
                </c:pt>
                <c:pt idx="11">
                  <c:v>918</c:v>
                </c:pt>
                <c:pt idx="12">
                  <c:v>1000</c:v>
                </c:pt>
                <c:pt idx="13">
                  <c:v>953</c:v>
                </c:pt>
                <c:pt idx="14">
                  <c:v>960</c:v>
                </c:pt>
                <c:pt idx="15">
                  <c:v>969</c:v>
                </c:pt>
                <c:pt idx="16">
                  <c:v>986</c:v>
                </c:pt>
                <c:pt idx="17">
                  <c:v>952</c:v>
                </c:pt>
                <c:pt idx="18">
                  <c:v>940</c:v>
                </c:pt>
                <c:pt idx="19">
                  <c:v>882</c:v>
                </c:pt>
                <c:pt idx="20">
                  <c:v>955</c:v>
                </c:pt>
                <c:pt idx="21">
                  <c:v>996</c:v>
                </c:pt>
                <c:pt idx="22">
                  <c:v>979</c:v>
                </c:pt>
                <c:pt idx="23">
                  <c:v>1078</c:v>
                </c:pt>
                <c:pt idx="24">
                  <c:v>993</c:v>
                </c:pt>
                <c:pt idx="25">
                  <c:v>877</c:v>
                </c:pt>
                <c:pt idx="26">
                  <c:v>690</c:v>
                </c:pt>
                <c:pt idx="27">
                  <c:v>863</c:v>
                </c:pt>
                <c:pt idx="28">
                  <c:v>864</c:v>
                </c:pt>
                <c:pt idx="29">
                  <c:v>952</c:v>
                </c:pt>
                <c:pt idx="30">
                  <c:v>852</c:v>
                </c:pt>
                <c:pt idx="31">
                  <c:v>1028</c:v>
                </c:pt>
                <c:pt idx="32">
                  <c:v>1003</c:v>
                </c:pt>
                <c:pt idx="33">
                  <c:v>949</c:v>
                </c:pt>
                <c:pt idx="34">
                  <c:v>952</c:v>
                </c:pt>
                <c:pt idx="35">
                  <c:v>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41-4CAB-964E-B0E66FC6B55E}"/>
            </c:ext>
          </c:extLst>
        </c:ser>
        <c:ser>
          <c:idx val="1"/>
          <c:order val="1"/>
          <c:tx>
            <c:strRef>
              <c:f>'1)SEX RATIO COMPLETE'!$C$7</c:f>
              <c:strCache>
                <c:ptCount val="1"/>
                <c:pt idx="0">
                  <c:v>Sum of Urban - 2011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multiLvlStrRef>
              <c:f>'1)SEX RATIO COMPLETE'!$A$8:$A$52</c:f>
              <c:multiLvlStrCache>
                <c:ptCount val="36"/>
                <c:lvl>
                  <c:pt idx="0">
                    <c:v>Chhattisgarh</c:v>
                  </c:pt>
                  <c:pt idx="1">
                    <c:v>Madhya Pradesh</c:v>
                  </c:pt>
                  <c:pt idx="2">
                    <c:v>INDIA</c:v>
                  </c:pt>
                  <c:pt idx="3">
                    <c:v>Bihar</c:v>
                  </c:pt>
                  <c:pt idx="4">
                    <c:v>Jharkhand</c:v>
                  </c:pt>
                  <c:pt idx="5">
                    <c:v>Odisha</c:v>
                  </c:pt>
                  <c:pt idx="6">
                    <c:v>West Bengal</c:v>
                  </c:pt>
                  <c:pt idx="7">
                    <c:v>Haryana</c:v>
                  </c:pt>
                  <c:pt idx="8">
                    <c:v>Himachal Pradesh</c:v>
                  </c:pt>
                  <c:pt idx="9">
                    <c:v>Jammu &amp; Kashmir</c:v>
                  </c:pt>
                  <c:pt idx="10">
                    <c:v>Punjab</c:v>
                  </c:pt>
                  <c:pt idx="11">
                    <c:v>Uttar Pradesh</c:v>
                  </c:pt>
                  <c:pt idx="12">
                    <c:v>Uttarakhand</c:v>
                  </c:pt>
                  <c:pt idx="13">
                    <c:v>Arunachal Pradesh</c:v>
                  </c:pt>
                  <c:pt idx="14">
                    <c:v>Assam</c:v>
                  </c:pt>
                  <c:pt idx="15">
                    <c:v>Manipur</c:v>
                  </c:pt>
                  <c:pt idx="16">
                    <c:v>Meghalaya</c:v>
                  </c:pt>
                  <c:pt idx="17">
                    <c:v>Mizoram</c:v>
                  </c:pt>
                  <c:pt idx="18">
                    <c:v>Nagaland</c:v>
                  </c:pt>
                  <c:pt idx="19">
                    <c:v>Sikkim</c:v>
                  </c:pt>
                  <c:pt idx="20">
                    <c:v>Tripura</c:v>
                  </c:pt>
                  <c:pt idx="21">
                    <c:v>Andhra Pradesh</c:v>
                  </c:pt>
                  <c:pt idx="22">
                    <c:v>Karnataka</c:v>
                  </c:pt>
                  <c:pt idx="23">
                    <c:v>Kerala</c:v>
                  </c:pt>
                  <c:pt idx="24">
                    <c:v>Tamil Nadu</c:v>
                  </c:pt>
                  <c:pt idx="25">
                    <c:v>A &amp; N Islands</c:v>
                  </c:pt>
                  <c:pt idx="26">
                    <c:v>Chandigarh</c:v>
                  </c:pt>
                  <c:pt idx="27">
                    <c:v>D &amp; N Haveli</c:v>
                  </c:pt>
                  <c:pt idx="28">
                    <c:v>Daman &amp; Diu</c:v>
                  </c:pt>
                  <c:pt idx="29">
                    <c:v>Lakshadweep</c:v>
                  </c:pt>
                  <c:pt idx="30">
                    <c:v>NCT of Delhi</c:v>
                  </c:pt>
                  <c:pt idx="31">
                    <c:v>Puducherry</c:v>
                  </c:pt>
                  <c:pt idx="32">
                    <c:v>Goa</c:v>
                  </c:pt>
                  <c:pt idx="33">
                    <c:v>Gujarat</c:v>
                  </c:pt>
                  <c:pt idx="34">
                    <c:v>Maharashtra</c:v>
                  </c:pt>
                  <c:pt idx="35">
                    <c:v>Rajasthan</c:v>
                  </c:pt>
                </c:lvl>
                <c:lvl>
                  <c:pt idx="0">
                    <c:v>Central</c:v>
                  </c:pt>
                  <c:pt idx="2">
                    <c:v>Country</c:v>
                  </c:pt>
                  <c:pt idx="3">
                    <c:v>East</c:v>
                  </c:pt>
                  <c:pt idx="7">
                    <c:v>North</c:v>
                  </c:pt>
                  <c:pt idx="13">
                    <c:v>North East</c:v>
                  </c:pt>
                  <c:pt idx="21">
                    <c:v>South</c:v>
                  </c:pt>
                  <c:pt idx="25">
                    <c:v>U.T.</c:v>
                  </c:pt>
                  <c:pt idx="32">
                    <c:v>West</c:v>
                  </c:pt>
                </c:lvl>
              </c:multiLvlStrCache>
            </c:multiLvlStrRef>
          </c:cat>
          <c:val>
            <c:numRef>
              <c:f>'1)SEX RATIO COMPLETE'!$C$8:$C$52</c:f>
              <c:numCache>
                <c:formatCode>General</c:formatCode>
                <c:ptCount val="36"/>
                <c:pt idx="0">
                  <c:v>956</c:v>
                </c:pt>
                <c:pt idx="1">
                  <c:v>918</c:v>
                </c:pt>
                <c:pt idx="2">
                  <c:v>929</c:v>
                </c:pt>
                <c:pt idx="3">
                  <c:v>895</c:v>
                </c:pt>
                <c:pt idx="4">
                  <c:v>910</c:v>
                </c:pt>
                <c:pt idx="5">
                  <c:v>932</c:v>
                </c:pt>
                <c:pt idx="6">
                  <c:v>944</c:v>
                </c:pt>
                <c:pt idx="7">
                  <c:v>873</c:v>
                </c:pt>
                <c:pt idx="8">
                  <c:v>853</c:v>
                </c:pt>
                <c:pt idx="9">
                  <c:v>840</c:v>
                </c:pt>
                <c:pt idx="10">
                  <c:v>875</c:v>
                </c:pt>
                <c:pt idx="11">
                  <c:v>894</c:v>
                </c:pt>
                <c:pt idx="12">
                  <c:v>884</c:v>
                </c:pt>
                <c:pt idx="13">
                  <c:v>890</c:v>
                </c:pt>
                <c:pt idx="14">
                  <c:v>946</c:v>
                </c:pt>
                <c:pt idx="15">
                  <c:v>1026</c:v>
                </c:pt>
                <c:pt idx="16">
                  <c:v>1001</c:v>
                </c:pt>
                <c:pt idx="17">
                  <c:v>998</c:v>
                </c:pt>
                <c:pt idx="18">
                  <c:v>908</c:v>
                </c:pt>
                <c:pt idx="19">
                  <c:v>913</c:v>
                </c:pt>
                <c:pt idx="20">
                  <c:v>973</c:v>
                </c:pt>
                <c:pt idx="21">
                  <c:v>987</c:v>
                </c:pt>
                <c:pt idx="22">
                  <c:v>963</c:v>
                </c:pt>
                <c:pt idx="23">
                  <c:v>1091</c:v>
                </c:pt>
                <c:pt idx="24">
                  <c:v>1000</c:v>
                </c:pt>
                <c:pt idx="25">
                  <c:v>874</c:v>
                </c:pt>
                <c:pt idx="26">
                  <c:v>822</c:v>
                </c:pt>
                <c:pt idx="27">
                  <c:v>682</c:v>
                </c:pt>
                <c:pt idx="28">
                  <c:v>551</c:v>
                </c:pt>
                <c:pt idx="29">
                  <c:v>945</c:v>
                </c:pt>
                <c:pt idx="30">
                  <c:v>868</c:v>
                </c:pt>
                <c:pt idx="31">
                  <c:v>1042</c:v>
                </c:pt>
                <c:pt idx="32">
                  <c:v>956</c:v>
                </c:pt>
                <c:pt idx="33">
                  <c:v>880</c:v>
                </c:pt>
                <c:pt idx="34">
                  <c:v>903</c:v>
                </c:pt>
                <c:pt idx="35">
                  <c:v>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41-4CAB-964E-B0E66FC6B55E}"/>
            </c:ext>
          </c:extLst>
        </c:ser>
        <c:ser>
          <c:idx val="2"/>
          <c:order val="2"/>
          <c:tx>
            <c:strRef>
              <c:f>'1)SEX RATIO COMPLETE'!$D$7</c:f>
              <c:strCache>
                <c:ptCount val="1"/>
                <c:pt idx="0">
                  <c:v>Sum of  Rural - 2001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multiLvlStrRef>
              <c:f>'1)SEX RATIO COMPLETE'!$A$8:$A$52</c:f>
              <c:multiLvlStrCache>
                <c:ptCount val="36"/>
                <c:lvl>
                  <c:pt idx="0">
                    <c:v>Chhattisgarh</c:v>
                  </c:pt>
                  <c:pt idx="1">
                    <c:v>Madhya Pradesh</c:v>
                  </c:pt>
                  <c:pt idx="2">
                    <c:v>INDIA</c:v>
                  </c:pt>
                  <c:pt idx="3">
                    <c:v>Bihar</c:v>
                  </c:pt>
                  <c:pt idx="4">
                    <c:v>Jharkhand</c:v>
                  </c:pt>
                  <c:pt idx="5">
                    <c:v>Odisha</c:v>
                  </c:pt>
                  <c:pt idx="6">
                    <c:v>West Bengal</c:v>
                  </c:pt>
                  <c:pt idx="7">
                    <c:v>Haryana</c:v>
                  </c:pt>
                  <c:pt idx="8">
                    <c:v>Himachal Pradesh</c:v>
                  </c:pt>
                  <c:pt idx="9">
                    <c:v>Jammu &amp; Kashmir</c:v>
                  </c:pt>
                  <c:pt idx="10">
                    <c:v>Punjab</c:v>
                  </c:pt>
                  <c:pt idx="11">
                    <c:v>Uttar Pradesh</c:v>
                  </c:pt>
                  <c:pt idx="12">
                    <c:v>Uttarakhand</c:v>
                  </c:pt>
                  <c:pt idx="13">
                    <c:v>Arunachal Pradesh</c:v>
                  </c:pt>
                  <c:pt idx="14">
                    <c:v>Assam</c:v>
                  </c:pt>
                  <c:pt idx="15">
                    <c:v>Manipur</c:v>
                  </c:pt>
                  <c:pt idx="16">
                    <c:v>Meghalaya</c:v>
                  </c:pt>
                  <c:pt idx="17">
                    <c:v>Mizoram</c:v>
                  </c:pt>
                  <c:pt idx="18">
                    <c:v>Nagaland</c:v>
                  </c:pt>
                  <c:pt idx="19">
                    <c:v>Sikkim</c:v>
                  </c:pt>
                  <c:pt idx="20">
                    <c:v>Tripura</c:v>
                  </c:pt>
                  <c:pt idx="21">
                    <c:v>Andhra Pradesh</c:v>
                  </c:pt>
                  <c:pt idx="22">
                    <c:v>Karnataka</c:v>
                  </c:pt>
                  <c:pt idx="23">
                    <c:v>Kerala</c:v>
                  </c:pt>
                  <c:pt idx="24">
                    <c:v>Tamil Nadu</c:v>
                  </c:pt>
                  <c:pt idx="25">
                    <c:v>A &amp; N Islands</c:v>
                  </c:pt>
                  <c:pt idx="26">
                    <c:v>Chandigarh</c:v>
                  </c:pt>
                  <c:pt idx="27">
                    <c:v>D &amp; N Haveli</c:v>
                  </c:pt>
                  <c:pt idx="28">
                    <c:v>Daman &amp; Diu</c:v>
                  </c:pt>
                  <c:pt idx="29">
                    <c:v>Lakshadweep</c:v>
                  </c:pt>
                  <c:pt idx="30">
                    <c:v>NCT of Delhi</c:v>
                  </c:pt>
                  <c:pt idx="31">
                    <c:v>Puducherry</c:v>
                  </c:pt>
                  <c:pt idx="32">
                    <c:v>Goa</c:v>
                  </c:pt>
                  <c:pt idx="33">
                    <c:v>Gujarat</c:v>
                  </c:pt>
                  <c:pt idx="34">
                    <c:v>Maharashtra</c:v>
                  </c:pt>
                  <c:pt idx="35">
                    <c:v>Rajasthan</c:v>
                  </c:pt>
                </c:lvl>
                <c:lvl>
                  <c:pt idx="0">
                    <c:v>Central</c:v>
                  </c:pt>
                  <c:pt idx="2">
                    <c:v>Country</c:v>
                  </c:pt>
                  <c:pt idx="3">
                    <c:v>East</c:v>
                  </c:pt>
                  <c:pt idx="7">
                    <c:v>North</c:v>
                  </c:pt>
                  <c:pt idx="13">
                    <c:v>North East</c:v>
                  </c:pt>
                  <c:pt idx="21">
                    <c:v>South</c:v>
                  </c:pt>
                  <c:pt idx="25">
                    <c:v>U.T.</c:v>
                  </c:pt>
                  <c:pt idx="32">
                    <c:v>West</c:v>
                  </c:pt>
                </c:lvl>
              </c:multiLvlStrCache>
            </c:multiLvlStrRef>
          </c:cat>
          <c:val>
            <c:numRef>
              <c:f>'1)SEX RATIO COMPLETE'!$D$8:$D$52</c:f>
              <c:numCache>
                <c:formatCode>General</c:formatCode>
                <c:ptCount val="36"/>
                <c:pt idx="0">
                  <c:v>1004</c:v>
                </c:pt>
                <c:pt idx="1">
                  <c:v>927</c:v>
                </c:pt>
                <c:pt idx="2">
                  <c:v>946</c:v>
                </c:pt>
                <c:pt idx="3">
                  <c:v>926</c:v>
                </c:pt>
                <c:pt idx="4">
                  <c:v>962</c:v>
                </c:pt>
                <c:pt idx="5">
                  <c:v>987</c:v>
                </c:pt>
                <c:pt idx="6">
                  <c:v>950</c:v>
                </c:pt>
                <c:pt idx="7">
                  <c:v>866</c:v>
                </c:pt>
                <c:pt idx="8">
                  <c:v>989</c:v>
                </c:pt>
                <c:pt idx="9">
                  <c:v>917</c:v>
                </c:pt>
                <c:pt idx="10">
                  <c:v>890</c:v>
                </c:pt>
                <c:pt idx="11">
                  <c:v>904</c:v>
                </c:pt>
                <c:pt idx="12">
                  <c:v>1007</c:v>
                </c:pt>
                <c:pt idx="13">
                  <c:v>914</c:v>
                </c:pt>
                <c:pt idx="14">
                  <c:v>944</c:v>
                </c:pt>
                <c:pt idx="15">
                  <c:v>967</c:v>
                </c:pt>
                <c:pt idx="16">
                  <c:v>969</c:v>
                </c:pt>
                <c:pt idx="17">
                  <c:v>923</c:v>
                </c:pt>
                <c:pt idx="18">
                  <c:v>916</c:v>
                </c:pt>
                <c:pt idx="19">
                  <c:v>880</c:v>
                </c:pt>
                <c:pt idx="20">
                  <c:v>946</c:v>
                </c:pt>
                <c:pt idx="21">
                  <c:v>983</c:v>
                </c:pt>
                <c:pt idx="22">
                  <c:v>977</c:v>
                </c:pt>
                <c:pt idx="23">
                  <c:v>1059</c:v>
                </c:pt>
                <c:pt idx="24">
                  <c:v>992</c:v>
                </c:pt>
                <c:pt idx="25">
                  <c:v>861</c:v>
                </c:pt>
                <c:pt idx="26">
                  <c:v>621</c:v>
                </c:pt>
                <c:pt idx="27">
                  <c:v>852</c:v>
                </c:pt>
                <c:pt idx="28">
                  <c:v>586</c:v>
                </c:pt>
                <c:pt idx="29">
                  <c:v>959</c:v>
                </c:pt>
                <c:pt idx="30">
                  <c:v>810</c:v>
                </c:pt>
                <c:pt idx="31">
                  <c:v>990</c:v>
                </c:pt>
                <c:pt idx="32">
                  <c:v>988</c:v>
                </c:pt>
                <c:pt idx="33">
                  <c:v>945</c:v>
                </c:pt>
                <c:pt idx="34">
                  <c:v>960</c:v>
                </c:pt>
                <c:pt idx="35">
                  <c:v>930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41-4CAB-964E-B0E66FC6B55E}"/>
            </c:ext>
          </c:extLst>
        </c:ser>
        <c:ser>
          <c:idx val="3"/>
          <c:order val="3"/>
          <c:tx>
            <c:strRef>
              <c:f>'1)SEX RATIO COMPLETE'!$E$7</c:f>
              <c:strCache>
                <c:ptCount val="1"/>
                <c:pt idx="0">
                  <c:v>Sum of Urban - 2001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multiLvlStrRef>
              <c:f>'1)SEX RATIO COMPLETE'!$A$8:$A$52</c:f>
              <c:multiLvlStrCache>
                <c:ptCount val="36"/>
                <c:lvl>
                  <c:pt idx="0">
                    <c:v>Chhattisgarh</c:v>
                  </c:pt>
                  <c:pt idx="1">
                    <c:v>Madhya Pradesh</c:v>
                  </c:pt>
                  <c:pt idx="2">
                    <c:v>INDIA</c:v>
                  </c:pt>
                  <c:pt idx="3">
                    <c:v>Bihar</c:v>
                  </c:pt>
                  <c:pt idx="4">
                    <c:v>Jharkhand</c:v>
                  </c:pt>
                  <c:pt idx="5">
                    <c:v>Odisha</c:v>
                  </c:pt>
                  <c:pt idx="6">
                    <c:v>West Bengal</c:v>
                  </c:pt>
                  <c:pt idx="7">
                    <c:v>Haryana</c:v>
                  </c:pt>
                  <c:pt idx="8">
                    <c:v>Himachal Pradesh</c:v>
                  </c:pt>
                  <c:pt idx="9">
                    <c:v>Jammu &amp; Kashmir</c:v>
                  </c:pt>
                  <c:pt idx="10">
                    <c:v>Punjab</c:v>
                  </c:pt>
                  <c:pt idx="11">
                    <c:v>Uttar Pradesh</c:v>
                  </c:pt>
                  <c:pt idx="12">
                    <c:v>Uttarakhand</c:v>
                  </c:pt>
                  <c:pt idx="13">
                    <c:v>Arunachal Pradesh</c:v>
                  </c:pt>
                  <c:pt idx="14">
                    <c:v>Assam</c:v>
                  </c:pt>
                  <c:pt idx="15">
                    <c:v>Manipur</c:v>
                  </c:pt>
                  <c:pt idx="16">
                    <c:v>Meghalaya</c:v>
                  </c:pt>
                  <c:pt idx="17">
                    <c:v>Mizoram</c:v>
                  </c:pt>
                  <c:pt idx="18">
                    <c:v>Nagaland</c:v>
                  </c:pt>
                  <c:pt idx="19">
                    <c:v>Sikkim</c:v>
                  </c:pt>
                  <c:pt idx="20">
                    <c:v>Tripura</c:v>
                  </c:pt>
                  <c:pt idx="21">
                    <c:v>Andhra Pradesh</c:v>
                  </c:pt>
                  <c:pt idx="22">
                    <c:v>Karnataka</c:v>
                  </c:pt>
                  <c:pt idx="23">
                    <c:v>Kerala</c:v>
                  </c:pt>
                  <c:pt idx="24">
                    <c:v>Tamil Nadu</c:v>
                  </c:pt>
                  <c:pt idx="25">
                    <c:v>A &amp; N Islands</c:v>
                  </c:pt>
                  <c:pt idx="26">
                    <c:v>Chandigarh</c:v>
                  </c:pt>
                  <c:pt idx="27">
                    <c:v>D &amp; N Haveli</c:v>
                  </c:pt>
                  <c:pt idx="28">
                    <c:v>Daman &amp; Diu</c:v>
                  </c:pt>
                  <c:pt idx="29">
                    <c:v>Lakshadweep</c:v>
                  </c:pt>
                  <c:pt idx="30">
                    <c:v>NCT of Delhi</c:v>
                  </c:pt>
                  <c:pt idx="31">
                    <c:v>Puducherry</c:v>
                  </c:pt>
                  <c:pt idx="32">
                    <c:v>Goa</c:v>
                  </c:pt>
                  <c:pt idx="33">
                    <c:v>Gujarat</c:v>
                  </c:pt>
                  <c:pt idx="34">
                    <c:v>Maharashtra</c:v>
                  </c:pt>
                  <c:pt idx="35">
                    <c:v>Rajasthan</c:v>
                  </c:pt>
                </c:lvl>
                <c:lvl>
                  <c:pt idx="0">
                    <c:v>Central</c:v>
                  </c:pt>
                  <c:pt idx="2">
                    <c:v>Country</c:v>
                  </c:pt>
                  <c:pt idx="3">
                    <c:v>East</c:v>
                  </c:pt>
                  <c:pt idx="7">
                    <c:v>North</c:v>
                  </c:pt>
                  <c:pt idx="13">
                    <c:v>North East</c:v>
                  </c:pt>
                  <c:pt idx="21">
                    <c:v>South</c:v>
                  </c:pt>
                  <c:pt idx="25">
                    <c:v>U.T.</c:v>
                  </c:pt>
                  <c:pt idx="32">
                    <c:v>West</c:v>
                  </c:pt>
                </c:lvl>
              </c:multiLvlStrCache>
            </c:multiLvlStrRef>
          </c:cat>
          <c:val>
            <c:numRef>
              <c:f>'1)SEX RATIO COMPLETE'!$E$8:$E$52</c:f>
              <c:numCache>
                <c:formatCode>General</c:formatCode>
                <c:ptCount val="36"/>
                <c:pt idx="0">
                  <c:v>932</c:v>
                </c:pt>
                <c:pt idx="1">
                  <c:v>898</c:v>
                </c:pt>
                <c:pt idx="2">
                  <c:v>900</c:v>
                </c:pt>
                <c:pt idx="3">
                  <c:v>868</c:v>
                </c:pt>
                <c:pt idx="4">
                  <c:v>870</c:v>
                </c:pt>
                <c:pt idx="5">
                  <c:v>895</c:v>
                </c:pt>
                <c:pt idx="6">
                  <c:v>893</c:v>
                </c:pt>
                <c:pt idx="7">
                  <c:v>847</c:v>
                </c:pt>
                <c:pt idx="8">
                  <c:v>795</c:v>
                </c:pt>
                <c:pt idx="9">
                  <c:v>819</c:v>
                </c:pt>
                <c:pt idx="10">
                  <c:v>849</c:v>
                </c:pt>
                <c:pt idx="11">
                  <c:v>876</c:v>
                </c:pt>
                <c:pt idx="12">
                  <c:v>845</c:v>
                </c:pt>
                <c:pt idx="13">
                  <c:v>819</c:v>
                </c:pt>
                <c:pt idx="14">
                  <c:v>872</c:v>
                </c:pt>
                <c:pt idx="15">
                  <c:v>1009</c:v>
                </c:pt>
                <c:pt idx="16">
                  <c:v>982</c:v>
                </c:pt>
                <c:pt idx="17">
                  <c:v>948</c:v>
                </c:pt>
                <c:pt idx="18">
                  <c:v>829</c:v>
                </c:pt>
                <c:pt idx="19">
                  <c:v>830</c:v>
                </c:pt>
                <c:pt idx="20">
                  <c:v>959</c:v>
                </c:pt>
                <c:pt idx="21">
                  <c:v>965</c:v>
                </c:pt>
                <c:pt idx="22">
                  <c:v>942</c:v>
                </c:pt>
                <c:pt idx="23">
                  <c:v>1058</c:v>
                </c:pt>
                <c:pt idx="24">
                  <c:v>982</c:v>
                </c:pt>
                <c:pt idx="25">
                  <c:v>815</c:v>
                </c:pt>
                <c:pt idx="26">
                  <c:v>796</c:v>
                </c:pt>
                <c:pt idx="27">
                  <c:v>691</c:v>
                </c:pt>
                <c:pt idx="28">
                  <c:v>984</c:v>
                </c:pt>
                <c:pt idx="29">
                  <c:v>935</c:v>
                </c:pt>
                <c:pt idx="30">
                  <c:v>822</c:v>
                </c:pt>
                <c:pt idx="31">
                  <c:v>1007</c:v>
                </c:pt>
                <c:pt idx="32">
                  <c:v>934</c:v>
                </c:pt>
                <c:pt idx="33">
                  <c:v>880</c:v>
                </c:pt>
                <c:pt idx="34">
                  <c:v>873</c:v>
                </c:pt>
                <c:pt idx="35">
                  <c:v>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41-4CAB-964E-B0E66FC6B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62860560"/>
        <c:axId val="-1062864912"/>
      </c:barChart>
      <c:catAx>
        <c:axId val="-1062860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64912"/>
        <c:crosses val="autoZero"/>
        <c:auto val="1"/>
        <c:lblAlgn val="ctr"/>
        <c:lblOffset val="100"/>
        <c:noMultiLvlLbl val="0"/>
      </c:catAx>
      <c:valAx>
        <c:axId val="-106286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6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etp project vba POWERPIVOT (2) (2).xlsm]2)CHANGE IN SEX RATIO!change_in_sex_ratio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Change in sex ratio between 2001-11</a:t>
            </a:r>
          </a:p>
          <a:p>
            <a:pPr>
              <a:defRPr/>
            </a:pPr>
            <a:endParaRPr lang="en-IN"/>
          </a:p>
        </c:rich>
      </c:tx>
      <c:layout>
        <c:manualLayout>
          <c:xMode val="edge"/>
          <c:yMode val="edge"/>
          <c:x val="0.184801399825022"/>
          <c:y val="2.125170045887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23807832186566"/>
          <c:y val="0.18124391065902801"/>
          <c:w val="0.44694088496669898"/>
          <c:h val="0.5422334534820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'2)CHANGE IN SEX RATIO'!$B$7</c:f>
              <c:strCache>
                <c:ptCount val="1"/>
                <c:pt idx="0">
                  <c:v>Total - 2001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'2)CHANGE IN SEX RATIO'!$A$8:$A$44</c:f>
              <c:strCache>
                <c:ptCount val="36"/>
                <c:pt idx="0">
                  <c:v>NCT of Delhi</c:v>
                </c:pt>
                <c:pt idx="1">
                  <c:v>Arunachal Pradesh</c:v>
                </c:pt>
                <c:pt idx="2">
                  <c:v>Mizoram</c:v>
                </c:pt>
                <c:pt idx="3">
                  <c:v>Chandigarh</c:v>
                </c:pt>
                <c:pt idx="4">
                  <c:v>Puducherry</c:v>
                </c:pt>
                <c:pt idx="5">
                  <c:v>Nagaland</c:v>
                </c:pt>
                <c:pt idx="6">
                  <c:v>A &amp; N Islands</c:v>
                </c:pt>
                <c:pt idx="7">
                  <c:v>Kerala</c:v>
                </c:pt>
                <c:pt idx="8">
                  <c:v>Assam</c:v>
                </c:pt>
                <c:pt idx="9">
                  <c:v>Punjab</c:v>
                </c:pt>
                <c:pt idx="10">
                  <c:v>Haryana</c:v>
                </c:pt>
                <c:pt idx="11">
                  <c:v>Meghalaya</c:v>
                </c:pt>
                <c:pt idx="12">
                  <c:v>West Bengal</c:v>
                </c:pt>
                <c:pt idx="13">
                  <c:v>Sikkim</c:v>
                </c:pt>
                <c:pt idx="14">
                  <c:v>Andhra Pradesh</c:v>
                </c:pt>
                <c:pt idx="15">
                  <c:v>Uttar Pradesh</c:v>
                </c:pt>
                <c:pt idx="16">
                  <c:v>Goa</c:v>
                </c:pt>
                <c:pt idx="17">
                  <c:v>Madhya Pradesh</c:v>
                </c:pt>
                <c:pt idx="18">
                  <c:v>Tripura</c:v>
                </c:pt>
                <c:pt idx="19">
                  <c:v>INDIA</c:v>
                </c:pt>
                <c:pt idx="20">
                  <c:v>Tamil Nadu</c:v>
                </c:pt>
                <c:pt idx="21">
                  <c:v>Karnataka</c:v>
                </c:pt>
                <c:pt idx="22">
                  <c:v>Maharashtra</c:v>
                </c:pt>
                <c:pt idx="23">
                  <c:v>Rajasthan</c:v>
                </c:pt>
                <c:pt idx="24">
                  <c:v>Odisha</c:v>
                </c:pt>
                <c:pt idx="25">
                  <c:v>Jharkhand</c:v>
                </c:pt>
                <c:pt idx="26">
                  <c:v>Manipur</c:v>
                </c:pt>
                <c:pt idx="27">
                  <c:v>Himachal Pradesh</c:v>
                </c:pt>
                <c:pt idx="28">
                  <c:v>Chhattisgarh</c:v>
                </c:pt>
                <c:pt idx="29">
                  <c:v>Uttarakhand</c:v>
                </c:pt>
                <c:pt idx="30">
                  <c:v>Gujarat</c:v>
                </c:pt>
                <c:pt idx="31">
                  <c:v>Bihar</c:v>
                </c:pt>
                <c:pt idx="32">
                  <c:v>Lakshadweep</c:v>
                </c:pt>
                <c:pt idx="33">
                  <c:v>Jammu &amp; Kashmir</c:v>
                </c:pt>
                <c:pt idx="34">
                  <c:v>D &amp; N Haveli</c:v>
                </c:pt>
                <c:pt idx="35">
                  <c:v>Daman &amp; Diu</c:v>
                </c:pt>
              </c:strCache>
            </c:strRef>
          </c:cat>
          <c:val>
            <c:numRef>
              <c:f>'2)CHANGE IN SEX RATIO'!$B$8:$B$44</c:f>
              <c:numCache>
                <c:formatCode>General</c:formatCode>
                <c:ptCount val="36"/>
                <c:pt idx="0">
                  <c:v>821</c:v>
                </c:pt>
                <c:pt idx="1">
                  <c:v>893</c:v>
                </c:pt>
                <c:pt idx="2">
                  <c:v>935</c:v>
                </c:pt>
                <c:pt idx="3">
                  <c:v>777</c:v>
                </c:pt>
                <c:pt idx="4">
                  <c:v>1001</c:v>
                </c:pt>
                <c:pt idx="5">
                  <c:v>900</c:v>
                </c:pt>
                <c:pt idx="6">
                  <c:v>846</c:v>
                </c:pt>
                <c:pt idx="7">
                  <c:v>1058</c:v>
                </c:pt>
                <c:pt idx="8">
                  <c:v>935</c:v>
                </c:pt>
                <c:pt idx="9">
                  <c:v>876</c:v>
                </c:pt>
                <c:pt idx="10">
                  <c:v>861</c:v>
                </c:pt>
                <c:pt idx="11">
                  <c:v>972</c:v>
                </c:pt>
                <c:pt idx="12">
                  <c:v>934</c:v>
                </c:pt>
                <c:pt idx="13">
                  <c:v>875</c:v>
                </c:pt>
                <c:pt idx="14">
                  <c:v>978</c:v>
                </c:pt>
                <c:pt idx="15">
                  <c:v>898</c:v>
                </c:pt>
                <c:pt idx="16">
                  <c:v>961</c:v>
                </c:pt>
                <c:pt idx="17">
                  <c:v>919</c:v>
                </c:pt>
                <c:pt idx="18">
                  <c:v>948</c:v>
                </c:pt>
                <c:pt idx="19">
                  <c:v>933</c:v>
                </c:pt>
                <c:pt idx="20">
                  <c:v>987</c:v>
                </c:pt>
                <c:pt idx="21">
                  <c:v>965</c:v>
                </c:pt>
                <c:pt idx="22">
                  <c:v>922</c:v>
                </c:pt>
                <c:pt idx="23">
                  <c:v>921</c:v>
                </c:pt>
                <c:pt idx="24">
                  <c:v>972</c:v>
                </c:pt>
                <c:pt idx="25">
                  <c:v>941</c:v>
                </c:pt>
                <c:pt idx="26">
                  <c:v>978</c:v>
                </c:pt>
                <c:pt idx="27">
                  <c:v>968</c:v>
                </c:pt>
                <c:pt idx="28">
                  <c:v>989</c:v>
                </c:pt>
                <c:pt idx="29">
                  <c:v>962</c:v>
                </c:pt>
                <c:pt idx="30">
                  <c:v>920</c:v>
                </c:pt>
                <c:pt idx="31">
                  <c:v>919</c:v>
                </c:pt>
                <c:pt idx="32">
                  <c:v>948</c:v>
                </c:pt>
                <c:pt idx="33">
                  <c:v>892</c:v>
                </c:pt>
                <c:pt idx="34">
                  <c:v>812</c:v>
                </c:pt>
                <c:pt idx="35">
                  <c:v>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B4-44B1-B2DD-31CD3EA32407}"/>
            </c:ext>
          </c:extLst>
        </c:ser>
        <c:ser>
          <c:idx val="1"/>
          <c:order val="1"/>
          <c:tx>
            <c:strRef>
              <c:f>'2)CHANGE IN SEX RATIO'!$C$7</c:f>
              <c:strCache>
                <c:ptCount val="1"/>
                <c:pt idx="0">
                  <c:v>Total - 2011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'2)CHANGE IN SEX RATIO'!$A$8:$A$44</c:f>
              <c:strCache>
                <c:ptCount val="36"/>
                <c:pt idx="0">
                  <c:v>NCT of Delhi</c:v>
                </c:pt>
                <c:pt idx="1">
                  <c:v>Arunachal Pradesh</c:v>
                </c:pt>
                <c:pt idx="2">
                  <c:v>Mizoram</c:v>
                </c:pt>
                <c:pt idx="3">
                  <c:v>Chandigarh</c:v>
                </c:pt>
                <c:pt idx="4">
                  <c:v>Puducherry</c:v>
                </c:pt>
                <c:pt idx="5">
                  <c:v>Nagaland</c:v>
                </c:pt>
                <c:pt idx="6">
                  <c:v>A &amp; N Islands</c:v>
                </c:pt>
                <c:pt idx="7">
                  <c:v>Kerala</c:v>
                </c:pt>
                <c:pt idx="8">
                  <c:v>Assam</c:v>
                </c:pt>
                <c:pt idx="9">
                  <c:v>Punjab</c:v>
                </c:pt>
                <c:pt idx="10">
                  <c:v>Haryana</c:v>
                </c:pt>
                <c:pt idx="11">
                  <c:v>Meghalaya</c:v>
                </c:pt>
                <c:pt idx="12">
                  <c:v>West Bengal</c:v>
                </c:pt>
                <c:pt idx="13">
                  <c:v>Sikkim</c:v>
                </c:pt>
                <c:pt idx="14">
                  <c:v>Andhra Pradesh</c:v>
                </c:pt>
                <c:pt idx="15">
                  <c:v>Uttar Pradesh</c:v>
                </c:pt>
                <c:pt idx="16">
                  <c:v>Goa</c:v>
                </c:pt>
                <c:pt idx="17">
                  <c:v>Madhya Pradesh</c:v>
                </c:pt>
                <c:pt idx="18">
                  <c:v>Tripura</c:v>
                </c:pt>
                <c:pt idx="19">
                  <c:v>INDIA</c:v>
                </c:pt>
                <c:pt idx="20">
                  <c:v>Tamil Nadu</c:v>
                </c:pt>
                <c:pt idx="21">
                  <c:v>Karnataka</c:v>
                </c:pt>
                <c:pt idx="22">
                  <c:v>Maharashtra</c:v>
                </c:pt>
                <c:pt idx="23">
                  <c:v>Rajasthan</c:v>
                </c:pt>
                <c:pt idx="24">
                  <c:v>Odisha</c:v>
                </c:pt>
                <c:pt idx="25">
                  <c:v>Jharkhand</c:v>
                </c:pt>
                <c:pt idx="26">
                  <c:v>Manipur</c:v>
                </c:pt>
                <c:pt idx="27">
                  <c:v>Himachal Pradesh</c:v>
                </c:pt>
                <c:pt idx="28">
                  <c:v>Chhattisgarh</c:v>
                </c:pt>
                <c:pt idx="29">
                  <c:v>Uttarakhand</c:v>
                </c:pt>
                <c:pt idx="30">
                  <c:v>Gujarat</c:v>
                </c:pt>
                <c:pt idx="31">
                  <c:v>Bihar</c:v>
                </c:pt>
                <c:pt idx="32">
                  <c:v>Lakshadweep</c:v>
                </c:pt>
                <c:pt idx="33">
                  <c:v>Jammu &amp; Kashmir</c:v>
                </c:pt>
                <c:pt idx="34">
                  <c:v>D &amp; N Haveli</c:v>
                </c:pt>
                <c:pt idx="35">
                  <c:v>Daman &amp; Diu</c:v>
                </c:pt>
              </c:strCache>
            </c:strRef>
          </c:cat>
          <c:val>
            <c:numRef>
              <c:f>'2)CHANGE IN SEX RATIO'!$C$8:$C$44</c:f>
              <c:numCache>
                <c:formatCode>General</c:formatCode>
                <c:ptCount val="36"/>
                <c:pt idx="0">
                  <c:v>868</c:v>
                </c:pt>
                <c:pt idx="1">
                  <c:v>938</c:v>
                </c:pt>
                <c:pt idx="2">
                  <c:v>976</c:v>
                </c:pt>
                <c:pt idx="3">
                  <c:v>818</c:v>
                </c:pt>
                <c:pt idx="4">
                  <c:v>1037</c:v>
                </c:pt>
                <c:pt idx="5">
                  <c:v>931</c:v>
                </c:pt>
                <c:pt idx="6">
                  <c:v>876</c:v>
                </c:pt>
                <c:pt idx="7">
                  <c:v>1084</c:v>
                </c:pt>
                <c:pt idx="8">
                  <c:v>958</c:v>
                </c:pt>
                <c:pt idx="9">
                  <c:v>895</c:v>
                </c:pt>
                <c:pt idx="10">
                  <c:v>879</c:v>
                </c:pt>
                <c:pt idx="11">
                  <c:v>989</c:v>
                </c:pt>
                <c:pt idx="12">
                  <c:v>950</c:v>
                </c:pt>
                <c:pt idx="13">
                  <c:v>890</c:v>
                </c:pt>
                <c:pt idx="14">
                  <c:v>993</c:v>
                </c:pt>
                <c:pt idx="15">
                  <c:v>912</c:v>
                </c:pt>
                <c:pt idx="16">
                  <c:v>973</c:v>
                </c:pt>
                <c:pt idx="17">
                  <c:v>931</c:v>
                </c:pt>
                <c:pt idx="18">
                  <c:v>960</c:v>
                </c:pt>
                <c:pt idx="19">
                  <c:v>943</c:v>
                </c:pt>
                <c:pt idx="20">
                  <c:v>996</c:v>
                </c:pt>
                <c:pt idx="21">
                  <c:v>973</c:v>
                </c:pt>
                <c:pt idx="22">
                  <c:v>929</c:v>
                </c:pt>
                <c:pt idx="23">
                  <c:v>928</c:v>
                </c:pt>
                <c:pt idx="24">
                  <c:v>979</c:v>
                </c:pt>
                <c:pt idx="25">
                  <c:v>948</c:v>
                </c:pt>
                <c:pt idx="26">
                  <c:v>985</c:v>
                </c:pt>
                <c:pt idx="27">
                  <c:v>972</c:v>
                </c:pt>
                <c:pt idx="28">
                  <c:v>991</c:v>
                </c:pt>
                <c:pt idx="29">
                  <c:v>963</c:v>
                </c:pt>
                <c:pt idx="30">
                  <c:v>919</c:v>
                </c:pt>
                <c:pt idx="31">
                  <c:v>918</c:v>
                </c:pt>
                <c:pt idx="32">
                  <c:v>946</c:v>
                </c:pt>
                <c:pt idx="33">
                  <c:v>889</c:v>
                </c:pt>
                <c:pt idx="34">
                  <c:v>774</c:v>
                </c:pt>
                <c:pt idx="35">
                  <c:v>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B4-44B1-B2DD-31CD3EA32407}"/>
            </c:ext>
          </c:extLst>
        </c:ser>
        <c:ser>
          <c:idx val="2"/>
          <c:order val="2"/>
          <c:tx>
            <c:strRef>
              <c:f>'2)CHANGE IN SEX RATIO'!$D$7</c:f>
              <c:strCache>
                <c:ptCount val="1"/>
                <c:pt idx="0">
                  <c:v>2011-2001 difference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'2)CHANGE IN SEX RATIO'!$A$8:$A$44</c:f>
              <c:strCache>
                <c:ptCount val="36"/>
                <c:pt idx="0">
                  <c:v>NCT of Delhi</c:v>
                </c:pt>
                <c:pt idx="1">
                  <c:v>Arunachal Pradesh</c:v>
                </c:pt>
                <c:pt idx="2">
                  <c:v>Mizoram</c:v>
                </c:pt>
                <c:pt idx="3">
                  <c:v>Chandigarh</c:v>
                </c:pt>
                <c:pt idx="4">
                  <c:v>Puducherry</c:v>
                </c:pt>
                <c:pt idx="5">
                  <c:v>Nagaland</c:v>
                </c:pt>
                <c:pt idx="6">
                  <c:v>A &amp; N Islands</c:v>
                </c:pt>
                <c:pt idx="7">
                  <c:v>Kerala</c:v>
                </c:pt>
                <c:pt idx="8">
                  <c:v>Assam</c:v>
                </c:pt>
                <c:pt idx="9">
                  <c:v>Punjab</c:v>
                </c:pt>
                <c:pt idx="10">
                  <c:v>Haryana</c:v>
                </c:pt>
                <c:pt idx="11">
                  <c:v>Meghalaya</c:v>
                </c:pt>
                <c:pt idx="12">
                  <c:v>West Bengal</c:v>
                </c:pt>
                <c:pt idx="13">
                  <c:v>Sikkim</c:v>
                </c:pt>
                <c:pt idx="14">
                  <c:v>Andhra Pradesh</c:v>
                </c:pt>
                <c:pt idx="15">
                  <c:v>Uttar Pradesh</c:v>
                </c:pt>
                <c:pt idx="16">
                  <c:v>Goa</c:v>
                </c:pt>
                <c:pt idx="17">
                  <c:v>Madhya Pradesh</c:v>
                </c:pt>
                <c:pt idx="18">
                  <c:v>Tripura</c:v>
                </c:pt>
                <c:pt idx="19">
                  <c:v>INDIA</c:v>
                </c:pt>
                <c:pt idx="20">
                  <c:v>Tamil Nadu</c:v>
                </c:pt>
                <c:pt idx="21">
                  <c:v>Karnataka</c:v>
                </c:pt>
                <c:pt idx="22">
                  <c:v>Maharashtra</c:v>
                </c:pt>
                <c:pt idx="23">
                  <c:v>Rajasthan</c:v>
                </c:pt>
                <c:pt idx="24">
                  <c:v>Odisha</c:v>
                </c:pt>
                <c:pt idx="25">
                  <c:v>Jharkhand</c:v>
                </c:pt>
                <c:pt idx="26">
                  <c:v>Manipur</c:v>
                </c:pt>
                <c:pt idx="27">
                  <c:v>Himachal Pradesh</c:v>
                </c:pt>
                <c:pt idx="28">
                  <c:v>Chhattisgarh</c:v>
                </c:pt>
                <c:pt idx="29">
                  <c:v>Uttarakhand</c:v>
                </c:pt>
                <c:pt idx="30">
                  <c:v>Gujarat</c:v>
                </c:pt>
                <c:pt idx="31">
                  <c:v>Bihar</c:v>
                </c:pt>
                <c:pt idx="32">
                  <c:v>Lakshadweep</c:v>
                </c:pt>
                <c:pt idx="33">
                  <c:v>Jammu &amp; Kashmir</c:v>
                </c:pt>
                <c:pt idx="34">
                  <c:v>D &amp; N Haveli</c:v>
                </c:pt>
                <c:pt idx="35">
                  <c:v>Daman &amp; Diu</c:v>
                </c:pt>
              </c:strCache>
            </c:strRef>
          </c:cat>
          <c:val>
            <c:numRef>
              <c:f>'2)CHANGE IN SEX RATIO'!$D$8:$D$44</c:f>
              <c:numCache>
                <c:formatCode>General</c:formatCode>
                <c:ptCount val="36"/>
                <c:pt idx="0">
                  <c:v>47</c:v>
                </c:pt>
                <c:pt idx="1">
                  <c:v>45</c:v>
                </c:pt>
                <c:pt idx="2">
                  <c:v>41</c:v>
                </c:pt>
                <c:pt idx="3">
                  <c:v>41</c:v>
                </c:pt>
                <c:pt idx="4">
                  <c:v>36</c:v>
                </c:pt>
                <c:pt idx="5">
                  <c:v>31</c:v>
                </c:pt>
                <c:pt idx="6">
                  <c:v>30</c:v>
                </c:pt>
                <c:pt idx="7">
                  <c:v>26</c:v>
                </c:pt>
                <c:pt idx="8">
                  <c:v>23</c:v>
                </c:pt>
                <c:pt idx="9">
                  <c:v>19</c:v>
                </c:pt>
                <c:pt idx="10">
                  <c:v>18</c:v>
                </c:pt>
                <c:pt idx="11">
                  <c:v>17</c:v>
                </c:pt>
                <c:pt idx="12">
                  <c:v>16</c:v>
                </c:pt>
                <c:pt idx="13">
                  <c:v>15</c:v>
                </c:pt>
                <c:pt idx="14">
                  <c:v>15</c:v>
                </c:pt>
                <c:pt idx="15">
                  <c:v>14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10</c:v>
                </c:pt>
                <c:pt idx="20">
                  <c:v>9</c:v>
                </c:pt>
                <c:pt idx="21">
                  <c:v>8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4</c:v>
                </c:pt>
                <c:pt idx="28">
                  <c:v>2</c:v>
                </c:pt>
                <c:pt idx="29">
                  <c:v>1</c:v>
                </c:pt>
                <c:pt idx="30">
                  <c:v>-1</c:v>
                </c:pt>
                <c:pt idx="31">
                  <c:v>-1</c:v>
                </c:pt>
                <c:pt idx="32">
                  <c:v>-2</c:v>
                </c:pt>
                <c:pt idx="33">
                  <c:v>-3</c:v>
                </c:pt>
                <c:pt idx="34">
                  <c:v>-38</c:v>
                </c:pt>
                <c:pt idx="35">
                  <c:v>-92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B4-44B1-B2DD-31CD3EA3240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062858384"/>
        <c:axId val="-1062855664"/>
      </c:barChart>
      <c:catAx>
        <c:axId val="-1062858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55664"/>
        <c:crosses val="autoZero"/>
        <c:auto val="1"/>
        <c:lblAlgn val="ctr"/>
        <c:lblOffset val="100"/>
        <c:noMultiLvlLbl val="0"/>
      </c:catAx>
      <c:valAx>
        <c:axId val="-10628556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5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etp project vba POWERPIVOT (2) (2).xlsm]3)SUB CATEGORY WISE TOTAL!abv_avg_pivot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600">
                <a:solidFill>
                  <a:srgbClr val="92D050"/>
                </a:solidFill>
                <a:latin typeface="AR CENA" panose="02000000000000000000" pitchFamily="2" charset="0"/>
              </a:rPr>
              <a:t>      FEMALE</a:t>
            </a:r>
            <a:r>
              <a:rPr lang="en-IN" sz="1600" baseline="0">
                <a:solidFill>
                  <a:srgbClr val="92D050"/>
                </a:solidFill>
                <a:latin typeface="AR CENA" panose="02000000000000000000" pitchFamily="2" charset="0"/>
              </a:rPr>
              <a:t> PER 1000 MALE IN EACH SUBCATEGORY  </a:t>
            </a:r>
          </a:p>
        </c:rich>
      </c:tx>
      <c:layout>
        <c:manualLayout>
          <c:xMode val="edge"/>
          <c:yMode val="edge"/>
          <c:x val="0.14111942797273799"/>
          <c:y val="0.809467961803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7133815063240495E-2"/>
          <c:y val="0.12217810380540001"/>
          <c:w val="0.79176479483274498"/>
          <c:h val="0.421097794193216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'3)SUB CATEGORY WISE TOTAL'!$B$11</c:f>
              <c:strCache>
                <c:ptCount val="1"/>
                <c:pt idx="0">
                  <c:v>Total - 2011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'3)SUB CATEGORY WISE TOTAL'!$A$12:$A$48</c:f>
              <c:strCache>
                <c:ptCount val="36"/>
                <c:pt idx="0">
                  <c:v>A &amp; N Islands</c:v>
                </c:pt>
                <c:pt idx="1">
                  <c:v>Andhra Pradesh</c:v>
                </c:pt>
                <c:pt idx="2">
                  <c:v>Arunachal Pradesh</c:v>
                </c:pt>
                <c:pt idx="3">
                  <c:v>Assam</c:v>
                </c:pt>
                <c:pt idx="4">
                  <c:v>Bihar</c:v>
                </c:pt>
                <c:pt idx="5">
                  <c:v>Chandigarh</c:v>
                </c:pt>
                <c:pt idx="6">
                  <c:v>Chhattisgarh</c:v>
                </c:pt>
                <c:pt idx="7">
                  <c:v>D &amp; N Haveli</c:v>
                </c:pt>
                <c:pt idx="8">
                  <c:v>Daman &amp; Diu</c:v>
                </c:pt>
                <c:pt idx="9">
                  <c:v>Goa</c:v>
                </c:pt>
                <c:pt idx="10">
                  <c:v>Gujarat</c:v>
                </c:pt>
                <c:pt idx="11">
                  <c:v>Haryana</c:v>
                </c:pt>
                <c:pt idx="12">
                  <c:v>Himachal Pradesh</c:v>
                </c:pt>
                <c:pt idx="13">
                  <c:v>INDIA</c:v>
                </c:pt>
                <c:pt idx="14">
                  <c:v>Jammu &amp; Kashmir</c:v>
                </c:pt>
                <c:pt idx="15">
                  <c:v>Jharkhand</c:v>
                </c:pt>
                <c:pt idx="16">
                  <c:v>Karnataka</c:v>
                </c:pt>
                <c:pt idx="17">
                  <c:v>Kerala</c:v>
                </c:pt>
                <c:pt idx="18">
                  <c:v>Lakshadweep</c:v>
                </c:pt>
                <c:pt idx="19">
                  <c:v>Madhya Pradesh</c:v>
                </c:pt>
                <c:pt idx="20">
                  <c:v>Maharashtra</c:v>
                </c:pt>
                <c:pt idx="21">
                  <c:v>Manipur</c:v>
                </c:pt>
                <c:pt idx="22">
                  <c:v>Meghalaya</c:v>
                </c:pt>
                <c:pt idx="23">
                  <c:v>Mizoram</c:v>
                </c:pt>
                <c:pt idx="24">
                  <c:v>Nagaland</c:v>
                </c:pt>
                <c:pt idx="25">
                  <c:v>NCT of Delhi</c:v>
                </c:pt>
                <c:pt idx="26">
                  <c:v>Odisha</c:v>
                </c:pt>
                <c:pt idx="27">
                  <c:v>Puducherry</c:v>
                </c:pt>
                <c:pt idx="28">
                  <c:v>Punjab</c:v>
                </c:pt>
                <c:pt idx="29">
                  <c:v>Rajasthan</c:v>
                </c:pt>
                <c:pt idx="30">
                  <c:v>Sikkim</c:v>
                </c:pt>
                <c:pt idx="31">
                  <c:v>Tamil Nadu</c:v>
                </c:pt>
                <c:pt idx="32">
                  <c:v>Tripura</c:v>
                </c:pt>
                <c:pt idx="33">
                  <c:v>Uttar Pradesh</c:v>
                </c:pt>
                <c:pt idx="34">
                  <c:v>Uttarakhand</c:v>
                </c:pt>
                <c:pt idx="35">
                  <c:v>West Bengal</c:v>
                </c:pt>
              </c:strCache>
            </c:strRef>
          </c:cat>
          <c:val>
            <c:numRef>
              <c:f>'3)SUB CATEGORY WISE TOTAL'!$B$12:$B$48</c:f>
              <c:numCache>
                <c:formatCode>General</c:formatCode>
                <c:ptCount val="36"/>
                <c:pt idx="0">
                  <c:v>876</c:v>
                </c:pt>
                <c:pt idx="1">
                  <c:v>993</c:v>
                </c:pt>
                <c:pt idx="2">
                  <c:v>938</c:v>
                </c:pt>
                <c:pt idx="3">
                  <c:v>958</c:v>
                </c:pt>
                <c:pt idx="4">
                  <c:v>918</c:v>
                </c:pt>
                <c:pt idx="5">
                  <c:v>818</c:v>
                </c:pt>
                <c:pt idx="6">
                  <c:v>991</c:v>
                </c:pt>
                <c:pt idx="7">
                  <c:v>774</c:v>
                </c:pt>
                <c:pt idx="8">
                  <c:v>618</c:v>
                </c:pt>
                <c:pt idx="9">
                  <c:v>973</c:v>
                </c:pt>
                <c:pt idx="10">
                  <c:v>919</c:v>
                </c:pt>
                <c:pt idx="11">
                  <c:v>879</c:v>
                </c:pt>
                <c:pt idx="12">
                  <c:v>972</c:v>
                </c:pt>
                <c:pt idx="13">
                  <c:v>943</c:v>
                </c:pt>
                <c:pt idx="14">
                  <c:v>889</c:v>
                </c:pt>
                <c:pt idx="15">
                  <c:v>948</c:v>
                </c:pt>
                <c:pt idx="16">
                  <c:v>973</c:v>
                </c:pt>
                <c:pt idx="17">
                  <c:v>1084</c:v>
                </c:pt>
                <c:pt idx="18">
                  <c:v>946</c:v>
                </c:pt>
                <c:pt idx="19">
                  <c:v>931</c:v>
                </c:pt>
                <c:pt idx="20">
                  <c:v>929</c:v>
                </c:pt>
                <c:pt idx="21">
                  <c:v>985</c:v>
                </c:pt>
                <c:pt idx="22">
                  <c:v>989</c:v>
                </c:pt>
                <c:pt idx="23">
                  <c:v>976</c:v>
                </c:pt>
                <c:pt idx="24">
                  <c:v>931</c:v>
                </c:pt>
                <c:pt idx="25">
                  <c:v>868</c:v>
                </c:pt>
                <c:pt idx="26">
                  <c:v>979</c:v>
                </c:pt>
                <c:pt idx="27">
                  <c:v>1037</c:v>
                </c:pt>
                <c:pt idx="28">
                  <c:v>895</c:v>
                </c:pt>
                <c:pt idx="29">
                  <c:v>928</c:v>
                </c:pt>
                <c:pt idx="30">
                  <c:v>890</c:v>
                </c:pt>
                <c:pt idx="31">
                  <c:v>996</c:v>
                </c:pt>
                <c:pt idx="32">
                  <c:v>960</c:v>
                </c:pt>
                <c:pt idx="33">
                  <c:v>912</c:v>
                </c:pt>
                <c:pt idx="34">
                  <c:v>963</c:v>
                </c:pt>
                <c:pt idx="35">
                  <c:v>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9-44C2-BB6B-28AA80752AC1}"/>
            </c:ext>
          </c:extLst>
        </c:ser>
        <c:ser>
          <c:idx val="1"/>
          <c:order val="1"/>
          <c:tx>
            <c:strRef>
              <c:f>'3)SUB CATEGORY WISE TOTAL'!$C$11</c:f>
              <c:strCache>
                <c:ptCount val="1"/>
                <c:pt idx="0">
                  <c:v>Total - 2001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'3)SUB CATEGORY WISE TOTAL'!$A$12:$A$48</c:f>
              <c:strCache>
                <c:ptCount val="36"/>
                <c:pt idx="0">
                  <c:v>A &amp; N Islands</c:v>
                </c:pt>
                <c:pt idx="1">
                  <c:v>Andhra Pradesh</c:v>
                </c:pt>
                <c:pt idx="2">
                  <c:v>Arunachal Pradesh</c:v>
                </c:pt>
                <c:pt idx="3">
                  <c:v>Assam</c:v>
                </c:pt>
                <c:pt idx="4">
                  <c:v>Bihar</c:v>
                </c:pt>
                <c:pt idx="5">
                  <c:v>Chandigarh</c:v>
                </c:pt>
                <c:pt idx="6">
                  <c:v>Chhattisgarh</c:v>
                </c:pt>
                <c:pt idx="7">
                  <c:v>D &amp; N Haveli</c:v>
                </c:pt>
                <c:pt idx="8">
                  <c:v>Daman &amp; Diu</c:v>
                </c:pt>
                <c:pt idx="9">
                  <c:v>Goa</c:v>
                </c:pt>
                <c:pt idx="10">
                  <c:v>Gujarat</c:v>
                </c:pt>
                <c:pt idx="11">
                  <c:v>Haryana</c:v>
                </c:pt>
                <c:pt idx="12">
                  <c:v>Himachal Pradesh</c:v>
                </c:pt>
                <c:pt idx="13">
                  <c:v>INDIA</c:v>
                </c:pt>
                <c:pt idx="14">
                  <c:v>Jammu &amp; Kashmir</c:v>
                </c:pt>
                <c:pt idx="15">
                  <c:v>Jharkhand</c:v>
                </c:pt>
                <c:pt idx="16">
                  <c:v>Karnataka</c:v>
                </c:pt>
                <c:pt idx="17">
                  <c:v>Kerala</c:v>
                </c:pt>
                <c:pt idx="18">
                  <c:v>Lakshadweep</c:v>
                </c:pt>
                <c:pt idx="19">
                  <c:v>Madhya Pradesh</c:v>
                </c:pt>
                <c:pt idx="20">
                  <c:v>Maharashtra</c:v>
                </c:pt>
                <c:pt idx="21">
                  <c:v>Manipur</c:v>
                </c:pt>
                <c:pt idx="22">
                  <c:v>Meghalaya</c:v>
                </c:pt>
                <c:pt idx="23">
                  <c:v>Mizoram</c:v>
                </c:pt>
                <c:pt idx="24">
                  <c:v>Nagaland</c:v>
                </c:pt>
                <c:pt idx="25">
                  <c:v>NCT of Delhi</c:v>
                </c:pt>
                <c:pt idx="26">
                  <c:v>Odisha</c:v>
                </c:pt>
                <c:pt idx="27">
                  <c:v>Puducherry</c:v>
                </c:pt>
                <c:pt idx="28">
                  <c:v>Punjab</c:v>
                </c:pt>
                <c:pt idx="29">
                  <c:v>Rajasthan</c:v>
                </c:pt>
                <c:pt idx="30">
                  <c:v>Sikkim</c:v>
                </c:pt>
                <c:pt idx="31">
                  <c:v>Tamil Nadu</c:v>
                </c:pt>
                <c:pt idx="32">
                  <c:v>Tripura</c:v>
                </c:pt>
                <c:pt idx="33">
                  <c:v>Uttar Pradesh</c:v>
                </c:pt>
                <c:pt idx="34">
                  <c:v>Uttarakhand</c:v>
                </c:pt>
                <c:pt idx="35">
                  <c:v>West Bengal</c:v>
                </c:pt>
              </c:strCache>
            </c:strRef>
          </c:cat>
          <c:val>
            <c:numRef>
              <c:f>'3)SUB CATEGORY WISE TOTAL'!$C$12:$C$48</c:f>
              <c:numCache>
                <c:formatCode>General</c:formatCode>
                <c:ptCount val="36"/>
                <c:pt idx="0">
                  <c:v>846</c:v>
                </c:pt>
                <c:pt idx="1">
                  <c:v>978</c:v>
                </c:pt>
                <c:pt idx="2">
                  <c:v>893</c:v>
                </c:pt>
                <c:pt idx="3">
                  <c:v>935</c:v>
                </c:pt>
                <c:pt idx="4">
                  <c:v>919</c:v>
                </c:pt>
                <c:pt idx="5">
                  <c:v>777</c:v>
                </c:pt>
                <c:pt idx="6">
                  <c:v>989</c:v>
                </c:pt>
                <c:pt idx="7">
                  <c:v>812</c:v>
                </c:pt>
                <c:pt idx="8">
                  <c:v>710</c:v>
                </c:pt>
                <c:pt idx="9">
                  <c:v>961</c:v>
                </c:pt>
                <c:pt idx="10">
                  <c:v>920</c:v>
                </c:pt>
                <c:pt idx="11">
                  <c:v>861</c:v>
                </c:pt>
                <c:pt idx="12">
                  <c:v>968</c:v>
                </c:pt>
                <c:pt idx="13">
                  <c:v>933</c:v>
                </c:pt>
                <c:pt idx="14">
                  <c:v>892</c:v>
                </c:pt>
                <c:pt idx="15">
                  <c:v>941</c:v>
                </c:pt>
                <c:pt idx="16">
                  <c:v>965</c:v>
                </c:pt>
                <c:pt idx="17">
                  <c:v>1058</c:v>
                </c:pt>
                <c:pt idx="18">
                  <c:v>948</c:v>
                </c:pt>
                <c:pt idx="19">
                  <c:v>919</c:v>
                </c:pt>
                <c:pt idx="20">
                  <c:v>922</c:v>
                </c:pt>
                <c:pt idx="21">
                  <c:v>978</c:v>
                </c:pt>
                <c:pt idx="22">
                  <c:v>972</c:v>
                </c:pt>
                <c:pt idx="23">
                  <c:v>935</c:v>
                </c:pt>
                <c:pt idx="24">
                  <c:v>900</c:v>
                </c:pt>
                <c:pt idx="25">
                  <c:v>821</c:v>
                </c:pt>
                <c:pt idx="26">
                  <c:v>972</c:v>
                </c:pt>
                <c:pt idx="27">
                  <c:v>1001</c:v>
                </c:pt>
                <c:pt idx="28">
                  <c:v>876</c:v>
                </c:pt>
                <c:pt idx="29">
                  <c:v>921</c:v>
                </c:pt>
                <c:pt idx="30">
                  <c:v>875</c:v>
                </c:pt>
                <c:pt idx="31">
                  <c:v>987</c:v>
                </c:pt>
                <c:pt idx="32">
                  <c:v>948</c:v>
                </c:pt>
                <c:pt idx="33">
                  <c:v>898</c:v>
                </c:pt>
                <c:pt idx="34">
                  <c:v>962</c:v>
                </c:pt>
                <c:pt idx="35">
                  <c:v>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9-44C2-BB6B-28AA80752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-1062868176"/>
        <c:axId val="-1062867632"/>
      </c:barChart>
      <c:catAx>
        <c:axId val="-106286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b" anchorCtr="0"/>
          <a:lstStyle/>
          <a:p>
            <a:pPr>
              <a:defRPr lang="en-US" sz="900" b="0" i="0" u="none" strike="noStrike" kern="1200" baseline="0">
                <a:ln w="6350">
                  <a:solidFill>
                    <a:schemeClr val="accent3">
                      <a:lumMod val="60000"/>
                      <a:lumOff val="40000"/>
                    </a:schemeClr>
                  </a:solidFill>
                  <a:tailEnd type="triangle"/>
                </a:ln>
                <a:solidFill>
                  <a:schemeClr val="lt1">
                    <a:lumMod val="8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67632"/>
        <c:crosses val="autoZero"/>
        <c:auto val="1"/>
        <c:lblAlgn val="ctr"/>
        <c:lblOffset val="100"/>
        <c:noMultiLvlLbl val="0"/>
      </c:catAx>
      <c:valAx>
        <c:axId val="-106286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6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3113098517004"/>
          <c:y val="9.7169142516979196E-2"/>
          <c:w val="0.15195466921775"/>
          <c:h val="0.167110433776423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etp project vba POWERPIVOT (2) (2).xlsm]4)ratio of U.T.!ratio_of_u.t._pivot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u="sng">
                <a:solidFill>
                  <a:srgbClr val="92D050"/>
                </a:solidFill>
                <a:latin typeface="AR CENA" panose="02000000000000000000" pitchFamily="2" charset="0"/>
              </a:rPr>
              <a:t>Ratio</a:t>
            </a:r>
            <a:r>
              <a:rPr lang="en-IN" u="sng" baseline="0">
                <a:solidFill>
                  <a:srgbClr val="92D050"/>
                </a:solidFill>
                <a:latin typeface="AR CENA" panose="02000000000000000000" pitchFamily="2" charset="0"/>
              </a:rPr>
              <a:t> of rural to urban sex ratio of union territories</a:t>
            </a:r>
          </a:p>
          <a:p>
            <a:pPr algn="ctr">
              <a:defRPr/>
            </a:pPr>
            <a:endParaRPr lang="en-IN"/>
          </a:p>
        </c:rich>
      </c:tx>
      <c:layout>
        <c:manualLayout>
          <c:xMode val="edge"/>
          <c:yMode val="edge"/>
          <c:x val="0.134784558180227"/>
          <c:y val="1.69851380042463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effectLst>
                    <a:outerShdw blurRad="50800" dist="50800" dir="5400000" algn="ctr" rotWithShape="0">
                      <a:schemeClr val="accent3">
                        <a:lumMod val="75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8886482939633"/>
          <c:y val="0.214989384288747"/>
          <c:w val="0.68652952755905505"/>
          <c:h val="0.55123861109717998"/>
        </c:manualLayout>
      </c:layout>
      <c:lineChart>
        <c:grouping val="standard"/>
        <c:varyColors val="0"/>
        <c:ser>
          <c:idx val="0"/>
          <c:order val="0"/>
          <c:tx>
            <c:strRef>
              <c:f>'4)ratio of U.T.'!$B$15</c:f>
              <c:strCache>
                <c:ptCount val="1"/>
                <c:pt idx="0">
                  <c:v>Ratio 2001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outerShdw blurRad="50800" dist="50800" dir="5400000" algn="ctr" rotWithShape="0">
                        <a:schemeClr val="accent3">
                          <a:lumMod val="75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'4)ratio of U.T.'!$A$16:$A$23</c:f>
              <c:strCache>
                <c:ptCount val="7"/>
                <c:pt idx="0">
                  <c:v>A &amp; N Islands</c:v>
                </c:pt>
                <c:pt idx="1">
                  <c:v>Chandigarh</c:v>
                </c:pt>
                <c:pt idx="2">
                  <c:v>D &amp; N Haveli</c:v>
                </c:pt>
                <c:pt idx="3">
                  <c:v>Daman &amp; Diu</c:v>
                </c:pt>
                <c:pt idx="4">
                  <c:v>Lakshadweep</c:v>
                </c:pt>
                <c:pt idx="5">
                  <c:v>NCT of Delhi</c:v>
                </c:pt>
                <c:pt idx="6">
                  <c:v>Puducherry</c:v>
                </c:pt>
              </c:strCache>
            </c:strRef>
          </c:cat>
          <c:val>
            <c:numRef>
              <c:f>'4)ratio of U.T.'!$B$16:$B$23</c:f>
              <c:numCache>
                <c:formatCode>0.00</c:formatCode>
                <c:ptCount val="7"/>
                <c:pt idx="0">
                  <c:v>1.0564417177914109</c:v>
                </c:pt>
                <c:pt idx="1">
                  <c:v>0.78015075376884424</c:v>
                </c:pt>
                <c:pt idx="2">
                  <c:v>1.2329956584659914</c:v>
                </c:pt>
                <c:pt idx="3">
                  <c:v>0.59552845528455289</c:v>
                </c:pt>
                <c:pt idx="4">
                  <c:v>1.0256684491978609</c:v>
                </c:pt>
                <c:pt idx="5">
                  <c:v>0.98540145985401462</c:v>
                </c:pt>
                <c:pt idx="6">
                  <c:v>0.98311817279046676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9-43E8-ADBC-047B4A91733E}"/>
            </c:ext>
          </c:extLst>
        </c:ser>
        <c:ser>
          <c:idx val="1"/>
          <c:order val="1"/>
          <c:tx>
            <c:strRef>
              <c:f>'4)ratio of U.T.'!$C$15</c:f>
              <c:strCache>
                <c:ptCount val="1"/>
                <c:pt idx="0">
                  <c:v>Ratio -2011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'4)ratio of U.T.'!$A$16:$A$23</c:f>
              <c:strCache>
                <c:ptCount val="7"/>
                <c:pt idx="0">
                  <c:v>A &amp; N Islands</c:v>
                </c:pt>
                <c:pt idx="1">
                  <c:v>Chandigarh</c:v>
                </c:pt>
                <c:pt idx="2">
                  <c:v>D &amp; N Haveli</c:v>
                </c:pt>
                <c:pt idx="3">
                  <c:v>Daman &amp; Diu</c:v>
                </c:pt>
                <c:pt idx="4">
                  <c:v>Lakshadweep</c:v>
                </c:pt>
                <c:pt idx="5">
                  <c:v>NCT of Delhi</c:v>
                </c:pt>
                <c:pt idx="6">
                  <c:v>Puducherry</c:v>
                </c:pt>
              </c:strCache>
            </c:strRef>
          </c:cat>
          <c:val>
            <c:numRef>
              <c:f>'4)ratio of U.T.'!$C$16:$C$23</c:f>
              <c:numCache>
                <c:formatCode>0.00</c:formatCode>
                <c:ptCount val="7"/>
                <c:pt idx="0">
                  <c:v>1.0034324942791761</c:v>
                </c:pt>
                <c:pt idx="1">
                  <c:v>0.83941605839416056</c:v>
                </c:pt>
                <c:pt idx="2">
                  <c:v>1.2653958944281525</c:v>
                </c:pt>
                <c:pt idx="3">
                  <c:v>1.5680580762250453</c:v>
                </c:pt>
                <c:pt idx="4">
                  <c:v>1.0074074074074073</c:v>
                </c:pt>
                <c:pt idx="5">
                  <c:v>0.98156682027649766</c:v>
                </c:pt>
                <c:pt idx="6">
                  <c:v>0.98656429942418422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D9-43E8-ADBC-047B4A91733E}"/>
            </c:ext>
          </c:extLst>
        </c:ser>
        <c:ser>
          <c:idx val="2"/>
          <c:order val="2"/>
          <c:tx>
            <c:strRef>
              <c:f>'4)ratio of U.T.'!$D$15</c:f>
              <c:strCache>
                <c:ptCount val="1"/>
                <c:pt idx="0">
                  <c:v>Sum of AVERAGE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'4)ratio of U.T.'!$A$16:$A$23</c:f>
              <c:strCache>
                <c:ptCount val="7"/>
                <c:pt idx="0">
                  <c:v>A &amp; N Islands</c:v>
                </c:pt>
                <c:pt idx="1">
                  <c:v>Chandigarh</c:v>
                </c:pt>
                <c:pt idx="2">
                  <c:v>D &amp; N Haveli</c:v>
                </c:pt>
                <c:pt idx="3">
                  <c:v>Daman &amp; Diu</c:v>
                </c:pt>
                <c:pt idx="4">
                  <c:v>Lakshadweep</c:v>
                </c:pt>
                <c:pt idx="5">
                  <c:v>NCT of Delhi</c:v>
                </c:pt>
                <c:pt idx="6">
                  <c:v>Puducherry</c:v>
                </c:pt>
              </c:strCache>
            </c:strRef>
          </c:cat>
          <c:val>
            <c:numRef>
              <c:f>'4)ratio of U.T.'!$D$16:$D$23</c:f>
              <c:numCache>
                <c:formatCode>0.00</c:formatCode>
                <c:ptCount val="7"/>
                <c:pt idx="0">
                  <c:v>1.0299371060352935</c:v>
                </c:pt>
                <c:pt idx="1">
                  <c:v>0.80978340608150234</c:v>
                </c:pt>
                <c:pt idx="2">
                  <c:v>1.2491957764470718</c:v>
                </c:pt>
                <c:pt idx="3">
                  <c:v>1.0817932657547991</c:v>
                </c:pt>
                <c:pt idx="4">
                  <c:v>1.0165379283026341</c:v>
                </c:pt>
                <c:pt idx="5">
                  <c:v>0.98348414006525608</c:v>
                </c:pt>
                <c:pt idx="6">
                  <c:v>0.98484123610732555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D9-43E8-ADBC-047B4A9173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062863280"/>
        <c:axId val="-1062857296"/>
      </c:lineChart>
      <c:catAx>
        <c:axId val="-106286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1" i="0" u="none" strike="noStrike" kern="1200" normalizeH="0" baseline="0">
                <a:solidFill>
                  <a:schemeClr val="accent6">
                    <a:lumMod val="20000"/>
                    <a:lumOff val="80000"/>
                  </a:schemeClr>
                </a:solidFill>
                <a:latin typeface="Aharoni" panose="02010803020104030203" pitchFamily="2" charset="-79"/>
                <a:ea typeface="+mn-ea"/>
                <a:cs typeface="+mn-cs"/>
              </a:defRPr>
            </a:pPr>
            <a:endParaRPr lang="en-US"/>
          </a:p>
        </c:txPr>
        <c:crossAx val="-1062857296"/>
        <c:crosses val="autoZero"/>
        <c:auto val="1"/>
        <c:lblAlgn val="ctr"/>
        <c:lblOffset val="100"/>
        <c:noMultiLvlLbl val="0"/>
      </c:catAx>
      <c:valAx>
        <c:axId val="-106285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solidFill>
            <a:schemeClr val="bg2">
              <a:lumMod val="10000"/>
            </a:schemeClr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6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486045494313198"/>
          <c:y val="0.13456408713242099"/>
          <c:w val="0.17513954505686799"/>
          <c:h val="0.214969657455237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u="sng">
                <a:solidFill>
                  <a:srgbClr val="FFFF00"/>
                </a:solidFill>
                <a:latin typeface="AR CENA" panose="02000000000000000000" pitchFamily="2" charset="0"/>
              </a:rPr>
              <a:t>Child</a:t>
            </a:r>
            <a:r>
              <a:rPr lang="en-IN" u="sng" baseline="0">
                <a:solidFill>
                  <a:srgbClr val="FFFF00"/>
                </a:solidFill>
                <a:latin typeface="AR CENA" panose="02000000000000000000" pitchFamily="2" charset="0"/>
              </a:rPr>
              <a:t> sex ratio vs population sex ratio in states with major population</a:t>
            </a:r>
          </a:p>
          <a:p>
            <a:pPr algn="ctr">
              <a:defRPr/>
            </a:pPr>
            <a:endParaRPr lang="en-IN" u="sng"/>
          </a:p>
        </c:rich>
      </c:tx>
      <c:layout>
        <c:manualLayout>
          <c:xMode val="edge"/>
          <c:yMode val="edge"/>
          <c:x val="0.145640764601395"/>
          <c:y val="6.1898512685914305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8721907073444"/>
          <c:y val="0.220180810731992"/>
          <c:w val="0.52509318055673104"/>
          <c:h val="0.5439986147564890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'5)CSR VS SR'!$D$7</c:f>
              <c:strCache>
                <c:ptCount val="1"/>
                <c:pt idx="0">
                  <c:v>Sum of Total - 2001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'5)CSR VS SR'!$A$8:$A$13</c:f>
              <c:strCache>
                <c:ptCount val="6"/>
                <c:pt idx="0">
                  <c:v>Bihar</c:v>
                </c:pt>
                <c:pt idx="1">
                  <c:v>Madhya Pradesh</c:v>
                </c:pt>
                <c:pt idx="2">
                  <c:v>Maharashtra</c:v>
                </c:pt>
                <c:pt idx="3">
                  <c:v>Uttar Pradesh</c:v>
                </c:pt>
                <c:pt idx="4">
                  <c:v>West Bengal</c:v>
                </c:pt>
                <c:pt idx="5">
                  <c:v>Grand Total</c:v>
                </c:pt>
              </c:strCache>
            </c:strRef>
          </c:cat>
          <c:val>
            <c:numRef>
              <c:f>'5)CSR VS SR'!$D$8:$D$13</c:f>
              <c:numCache>
                <c:formatCode>General</c:formatCode>
                <c:ptCount val="6"/>
                <c:pt idx="0">
                  <c:v>919</c:v>
                </c:pt>
                <c:pt idx="1">
                  <c:v>919</c:v>
                </c:pt>
                <c:pt idx="2">
                  <c:v>922</c:v>
                </c:pt>
                <c:pt idx="3">
                  <c:v>898</c:v>
                </c:pt>
                <c:pt idx="4">
                  <c:v>934</c:v>
                </c:pt>
                <c:pt idx="5">
                  <c:v>4592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3-465D-A96F-6FC7FC5601E6}"/>
            </c:ext>
          </c:extLst>
        </c:ser>
        <c:ser>
          <c:idx val="3"/>
          <c:order val="3"/>
          <c:tx>
            <c:strRef>
              <c:f>'5)CSR VS SR'!$E$7</c:f>
              <c:strCache>
                <c:ptCount val="1"/>
                <c:pt idx="0">
                  <c:v>Sum of Total - 2011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'5)CSR VS SR'!$A$8:$A$13</c:f>
              <c:strCache>
                <c:ptCount val="6"/>
                <c:pt idx="0">
                  <c:v>Bihar</c:v>
                </c:pt>
                <c:pt idx="1">
                  <c:v>Madhya Pradesh</c:v>
                </c:pt>
                <c:pt idx="2">
                  <c:v>Maharashtra</c:v>
                </c:pt>
                <c:pt idx="3">
                  <c:v>Uttar Pradesh</c:v>
                </c:pt>
                <c:pt idx="4">
                  <c:v>West Bengal</c:v>
                </c:pt>
                <c:pt idx="5">
                  <c:v>Grand Total</c:v>
                </c:pt>
              </c:strCache>
            </c:strRef>
          </c:cat>
          <c:val>
            <c:numRef>
              <c:f>'5)CSR VS SR'!$E$8:$E$13</c:f>
              <c:numCache>
                <c:formatCode>General</c:formatCode>
                <c:ptCount val="6"/>
                <c:pt idx="0">
                  <c:v>918</c:v>
                </c:pt>
                <c:pt idx="1">
                  <c:v>931</c:v>
                </c:pt>
                <c:pt idx="2">
                  <c:v>929</c:v>
                </c:pt>
                <c:pt idx="3">
                  <c:v>912</c:v>
                </c:pt>
                <c:pt idx="4">
                  <c:v>950</c:v>
                </c:pt>
                <c:pt idx="5">
                  <c:v>4640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33-465D-A96F-6FC7FC560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1062867088"/>
        <c:axId val="-1062866544"/>
      </c:barChart>
      <c:lineChart>
        <c:grouping val="standard"/>
        <c:varyColors val="0"/>
        <c:ser>
          <c:idx val="0"/>
          <c:order val="0"/>
          <c:tx>
            <c:strRef>
              <c:f>'5)CSR VS SR'!$B$7</c:f>
              <c:strCache>
                <c:ptCount val="1"/>
                <c:pt idx="0">
                  <c:v>Sum of CSR Total - 2001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'5)CSR VS SR'!$A$8:$A$13</c:f>
              <c:strCache>
                <c:ptCount val="6"/>
                <c:pt idx="0">
                  <c:v>Bihar</c:v>
                </c:pt>
                <c:pt idx="1">
                  <c:v>Madhya Pradesh</c:v>
                </c:pt>
                <c:pt idx="2">
                  <c:v>Maharashtra</c:v>
                </c:pt>
                <c:pt idx="3">
                  <c:v>Uttar Pradesh</c:v>
                </c:pt>
                <c:pt idx="4">
                  <c:v>West Bengal</c:v>
                </c:pt>
                <c:pt idx="5">
                  <c:v>Grand Total</c:v>
                </c:pt>
              </c:strCache>
            </c:strRef>
          </c:cat>
          <c:val>
            <c:numRef>
              <c:f>'5)CSR VS SR'!$B$8:$B$13</c:f>
              <c:numCache>
                <c:formatCode>General</c:formatCode>
                <c:ptCount val="6"/>
                <c:pt idx="0">
                  <c:v>942</c:v>
                </c:pt>
                <c:pt idx="1">
                  <c:v>932</c:v>
                </c:pt>
                <c:pt idx="2">
                  <c:v>913</c:v>
                </c:pt>
                <c:pt idx="3">
                  <c:v>916</c:v>
                </c:pt>
                <c:pt idx="4">
                  <c:v>960</c:v>
                </c:pt>
                <c:pt idx="5">
                  <c:v>4663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33-465D-A96F-6FC7FC5601E6}"/>
            </c:ext>
          </c:extLst>
        </c:ser>
        <c:ser>
          <c:idx val="1"/>
          <c:order val="1"/>
          <c:tx>
            <c:strRef>
              <c:f>'5)CSR VS SR'!$C$7</c:f>
              <c:strCache>
                <c:ptCount val="1"/>
                <c:pt idx="0">
                  <c:v>Sum of CSR Total - 2011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'5)CSR VS SR'!$A$8:$A$13</c:f>
              <c:strCache>
                <c:ptCount val="6"/>
                <c:pt idx="0">
                  <c:v>Bihar</c:v>
                </c:pt>
                <c:pt idx="1">
                  <c:v>Madhya Pradesh</c:v>
                </c:pt>
                <c:pt idx="2">
                  <c:v>Maharashtra</c:v>
                </c:pt>
                <c:pt idx="3">
                  <c:v>Uttar Pradesh</c:v>
                </c:pt>
                <c:pt idx="4">
                  <c:v>West Bengal</c:v>
                </c:pt>
                <c:pt idx="5">
                  <c:v>Grand Total</c:v>
                </c:pt>
              </c:strCache>
            </c:strRef>
          </c:cat>
          <c:val>
            <c:numRef>
              <c:f>'5)CSR VS SR'!$C$8:$C$13</c:f>
              <c:numCache>
                <c:formatCode>General</c:formatCode>
                <c:ptCount val="6"/>
                <c:pt idx="0">
                  <c:v>935</c:v>
                </c:pt>
                <c:pt idx="1">
                  <c:v>918</c:v>
                </c:pt>
                <c:pt idx="2">
                  <c:v>894</c:v>
                </c:pt>
                <c:pt idx="3">
                  <c:v>902</c:v>
                </c:pt>
                <c:pt idx="4">
                  <c:v>956</c:v>
                </c:pt>
                <c:pt idx="5">
                  <c:v>4605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33-465D-A96F-6FC7FC560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62867088"/>
        <c:axId val="-1062866544"/>
      </c:lineChart>
      <c:catAx>
        <c:axId val="-106286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1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Aharoni" panose="02010803020104030203" pitchFamily="2" charset="-79"/>
                <a:ea typeface="+mn-ea"/>
                <a:cs typeface="+mn-cs"/>
              </a:defRPr>
            </a:pPr>
            <a:endParaRPr lang="en-US"/>
          </a:p>
        </c:txPr>
        <c:crossAx val="-1062866544"/>
        <c:crosses val="autoZero"/>
        <c:auto val="1"/>
        <c:lblAlgn val="ctr"/>
        <c:lblOffset val="100"/>
        <c:noMultiLvlLbl val="0"/>
      </c:catAx>
      <c:valAx>
        <c:axId val="-106286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6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58162353361701"/>
          <c:y val="0.45442111402741298"/>
          <c:w val="0.23908145890365901"/>
          <c:h val="0.460650335374744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chemeClr val="accent3">
          <a:lumMod val="60000"/>
          <a:lumOff val="40000"/>
        </a:schemeClr>
      </a:solidFill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'6)LR_VS_SR_PIVOT'!$B$3</c:f>
              <c:strCache>
                <c:ptCount val="1"/>
                <c:pt idx="0">
                  <c:v>Sum of RANK(L.R.)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'6)LR_VS_SR_PIVOT'!$A$4:$A$39</c:f>
              <c:strCache>
                <c:ptCount val="36"/>
                <c:pt idx="0">
                  <c:v>West Bengal</c:v>
                </c:pt>
                <c:pt idx="1">
                  <c:v>A &amp; N Islands</c:v>
                </c:pt>
                <c:pt idx="2">
                  <c:v>Andhra Pradesh</c:v>
                </c:pt>
                <c:pt idx="3">
                  <c:v>Arunachal Pradesh</c:v>
                </c:pt>
                <c:pt idx="4">
                  <c:v>Assam</c:v>
                </c:pt>
                <c:pt idx="5">
                  <c:v>Bihar</c:v>
                </c:pt>
                <c:pt idx="6">
                  <c:v>Chandigarh</c:v>
                </c:pt>
                <c:pt idx="7">
                  <c:v>Chhattisgarh</c:v>
                </c:pt>
                <c:pt idx="8">
                  <c:v>D &amp; N Haveli</c:v>
                </c:pt>
                <c:pt idx="9">
                  <c:v>Daman &amp; Diu</c:v>
                </c:pt>
                <c:pt idx="10">
                  <c:v>Goa</c:v>
                </c:pt>
                <c:pt idx="11">
                  <c:v>Gujarat</c:v>
                </c:pt>
                <c:pt idx="12">
                  <c:v>Haryana</c:v>
                </c:pt>
                <c:pt idx="13">
                  <c:v>Himachal Pradesh</c:v>
                </c:pt>
                <c:pt idx="14">
                  <c:v>Jammu &amp; Kashmir</c:v>
                </c:pt>
                <c:pt idx="15">
                  <c:v>Jharkhand</c:v>
                </c:pt>
                <c:pt idx="16">
                  <c:v>Karnataka</c:v>
                </c:pt>
                <c:pt idx="17">
                  <c:v>Kerala</c:v>
                </c:pt>
                <c:pt idx="18">
                  <c:v>Lakshadweep</c:v>
                </c:pt>
                <c:pt idx="19">
                  <c:v>Madhya Pradesh</c:v>
                </c:pt>
                <c:pt idx="20">
                  <c:v>Maharashtra</c:v>
                </c:pt>
                <c:pt idx="21">
                  <c:v>Manipur</c:v>
                </c:pt>
                <c:pt idx="22">
                  <c:v>Meghalaya</c:v>
                </c:pt>
                <c:pt idx="23">
                  <c:v>Mizoram</c:v>
                </c:pt>
                <c:pt idx="24">
                  <c:v>Nagaland</c:v>
                </c:pt>
                <c:pt idx="25">
                  <c:v>NCT of Delhi</c:v>
                </c:pt>
                <c:pt idx="26">
                  <c:v>Odisha</c:v>
                </c:pt>
                <c:pt idx="27">
                  <c:v>Puducherry</c:v>
                </c:pt>
                <c:pt idx="28">
                  <c:v>Punjab</c:v>
                </c:pt>
                <c:pt idx="29">
                  <c:v>Rajasthan</c:v>
                </c:pt>
                <c:pt idx="30">
                  <c:v>Sikkim</c:v>
                </c:pt>
                <c:pt idx="31">
                  <c:v>Tamil Nadu</c:v>
                </c:pt>
                <c:pt idx="32">
                  <c:v>Tripura</c:v>
                </c:pt>
                <c:pt idx="33">
                  <c:v>Uttar Pradesh</c:v>
                </c:pt>
                <c:pt idx="34">
                  <c:v>Uttarakhand</c:v>
                </c:pt>
                <c:pt idx="35">
                  <c:v>Grand Total</c:v>
                </c:pt>
              </c:strCache>
            </c:strRef>
          </c:cat>
          <c:val>
            <c:numRef>
              <c:f>'6)LR_VS_SR_PIVOT'!$B$4:$B$39</c:f>
              <c:numCache>
                <c:formatCode>General</c:formatCode>
                <c:ptCount val="36"/>
                <c:pt idx="0">
                  <c:v>20</c:v>
                </c:pt>
                <c:pt idx="1">
                  <c:v>10</c:v>
                </c:pt>
                <c:pt idx="2">
                  <c:v>32</c:v>
                </c:pt>
                <c:pt idx="3">
                  <c:v>35</c:v>
                </c:pt>
                <c:pt idx="4">
                  <c:v>27</c:v>
                </c:pt>
                <c:pt idx="5">
                  <c:v>36</c:v>
                </c:pt>
                <c:pt idx="6">
                  <c:v>8</c:v>
                </c:pt>
                <c:pt idx="7">
                  <c:v>28</c:v>
                </c:pt>
                <c:pt idx="8">
                  <c:v>19</c:v>
                </c:pt>
                <c:pt idx="9">
                  <c:v>6</c:v>
                </c:pt>
                <c:pt idx="10">
                  <c:v>5</c:v>
                </c:pt>
                <c:pt idx="11">
                  <c:v>18</c:v>
                </c:pt>
                <c:pt idx="12">
                  <c:v>22</c:v>
                </c:pt>
                <c:pt idx="13">
                  <c:v>11</c:v>
                </c:pt>
                <c:pt idx="14">
                  <c:v>31</c:v>
                </c:pt>
                <c:pt idx="15">
                  <c:v>33</c:v>
                </c:pt>
                <c:pt idx="16">
                  <c:v>23</c:v>
                </c:pt>
                <c:pt idx="17">
                  <c:v>1</c:v>
                </c:pt>
                <c:pt idx="18">
                  <c:v>2</c:v>
                </c:pt>
                <c:pt idx="19">
                  <c:v>29</c:v>
                </c:pt>
                <c:pt idx="20">
                  <c:v>12</c:v>
                </c:pt>
                <c:pt idx="21">
                  <c:v>16</c:v>
                </c:pt>
                <c:pt idx="22">
                  <c:v>24</c:v>
                </c:pt>
                <c:pt idx="23">
                  <c:v>3</c:v>
                </c:pt>
                <c:pt idx="24">
                  <c:v>15</c:v>
                </c:pt>
                <c:pt idx="25">
                  <c:v>9</c:v>
                </c:pt>
                <c:pt idx="26">
                  <c:v>26</c:v>
                </c:pt>
                <c:pt idx="27">
                  <c:v>7</c:v>
                </c:pt>
                <c:pt idx="28">
                  <c:v>21</c:v>
                </c:pt>
                <c:pt idx="29">
                  <c:v>34</c:v>
                </c:pt>
                <c:pt idx="30">
                  <c:v>13</c:v>
                </c:pt>
                <c:pt idx="31">
                  <c:v>14</c:v>
                </c:pt>
                <c:pt idx="32">
                  <c:v>4</c:v>
                </c:pt>
                <c:pt idx="33">
                  <c:v>30</c:v>
                </c:pt>
                <c:pt idx="34">
                  <c:v>17</c:v>
                </c:pt>
                <c:pt idx="35">
                  <c:v>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5-4F05-9F82-E80ED7A20BCF}"/>
            </c:ext>
          </c:extLst>
        </c:ser>
        <c:ser>
          <c:idx val="1"/>
          <c:order val="1"/>
          <c:tx>
            <c:strRef>
              <c:f>'6)LR_VS_SR_PIVOT'!$C$3</c:f>
              <c:strCache>
                <c:ptCount val="1"/>
                <c:pt idx="0">
                  <c:v>Sum of RANK(S.R.)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'6)LR_VS_SR_PIVOT'!$A$4:$A$39</c:f>
              <c:strCache>
                <c:ptCount val="36"/>
                <c:pt idx="0">
                  <c:v>West Bengal</c:v>
                </c:pt>
                <c:pt idx="1">
                  <c:v>A &amp; N Islands</c:v>
                </c:pt>
                <c:pt idx="2">
                  <c:v>Andhra Pradesh</c:v>
                </c:pt>
                <c:pt idx="3">
                  <c:v>Arunachal Pradesh</c:v>
                </c:pt>
                <c:pt idx="4">
                  <c:v>Assam</c:v>
                </c:pt>
                <c:pt idx="5">
                  <c:v>Bihar</c:v>
                </c:pt>
                <c:pt idx="6">
                  <c:v>Chandigarh</c:v>
                </c:pt>
                <c:pt idx="7">
                  <c:v>Chhattisgarh</c:v>
                </c:pt>
                <c:pt idx="8">
                  <c:v>D &amp; N Haveli</c:v>
                </c:pt>
                <c:pt idx="9">
                  <c:v>Daman &amp; Diu</c:v>
                </c:pt>
                <c:pt idx="10">
                  <c:v>Goa</c:v>
                </c:pt>
                <c:pt idx="11">
                  <c:v>Gujarat</c:v>
                </c:pt>
                <c:pt idx="12">
                  <c:v>Haryana</c:v>
                </c:pt>
                <c:pt idx="13">
                  <c:v>Himachal Pradesh</c:v>
                </c:pt>
                <c:pt idx="14">
                  <c:v>Jammu &amp; Kashmir</c:v>
                </c:pt>
                <c:pt idx="15">
                  <c:v>Jharkhand</c:v>
                </c:pt>
                <c:pt idx="16">
                  <c:v>Karnataka</c:v>
                </c:pt>
                <c:pt idx="17">
                  <c:v>Kerala</c:v>
                </c:pt>
                <c:pt idx="18">
                  <c:v>Lakshadweep</c:v>
                </c:pt>
                <c:pt idx="19">
                  <c:v>Madhya Pradesh</c:v>
                </c:pt>
                <c:pt idx="20">
                  <c:v>Maharashtra</c:v>
                </c:pt>
                <c:pt idx="21">
                  <c:v>Manipur</c:v>
                </c:pt>
                <c:pt idx="22">
                  <c:v>Meghalaya</c:v>
                </c:pt>
                <c:pt idx="23">
                  <c:v>Mizoram</c:v>
                </c:pt>
                <c:pt idx="24">
                  <c:v>Nagaland</c:v>
                </c:pt>
                <c:pt idx="25">
                  <c:v>NCT of Delhi</c:v>
                </c:pt>
                <c:pt idx="26">
                  <c:v>Odisha</c:v>
                </c:pt>
                <c:pt idx="27">
                  <c:v>Puducherry</c:v>
                </c:pt>
                <c:pt idx="28">
                  <c:v>Punjab</c:v>
                </c:pt>
                <c:pt idx="29">
                  <c:v>Rajasthan</c:v>
                </c:pt>
                <c:pt idx="30">
                  <c:v>Sikkim</c:v>
                </c:pt>
                <c:pt idx="31">
                  <c:v>Tamil Nadu</c:v>
                </c:pt>
                <c:pt idx="32">
                  <c:v>Tripura</c:v>
                </c:pt>
                <c:pt idx="33">
                  <c:v>Uttar Pradesh</c:v>
                </c:pt>
                <c:pt idx="34">
                  <c:v>Uttarakhand</c:v>
                </c:pt>
                <c:pt idx="35">
                  <c:v>Grand Total</c:v>
                </c:pt>
              </c:strCache>
            </c:strRef>
          </c:cat>
          <c:val>
            <c:numRef>
              <c:f>'6)LR_VS_SR_PIVOT'!$C$4:$C$39</c:f>
              <c:numCache>
                <c:formatCode>General</c:formatCode>
                <c:ptCount val="36"/>
                <c:pt idx="0">
                  <c:v>15</c:v>
                </c:pt>
                <c:pt idx="1">
                  <c:v>30</c:v>
                </c:pt>
                <c:pt idx="2">
                  <c:v>4</c:v>
                </c:pt>
                <c:pt idx="3">
                  <c:v>19</c:v>
                </c:pt>
                <c:pt idx="4">
                  <c:v>14</c:v>
                </c:pt>
                <c:pt idx="5">
                  <c:v>24</c:v>
                </c:pt>
                <c:pt idx="6">
                  <c:v>32</c:v>
                </c:pt>
                <c:pt idx="7">
                  <c:v>5</c:v>
                </c:pt>
                <c:pt idx="8">
                  <c:v>33</c:v>
                </c:pt>
                <c:pt idx="9">
                  <c:v>34</c:v>
                </c:pt>
                <c:pt idx="10">
                  <c:v>10</c:v>
                </c:pt>
                <c:pt idx="11">
                  <c:v>23</c:v>
                </c:pt>
                <c:pt idx="12">
                  <c:v>29</c:v>
                </c:pt>
                <c:pt idx="13">
                  <c:v>11</c:v>
                </c:pt>
                <c:pt idx="14">
                  <c:v>28</c:v>
                </c:pt>
                <c:pt idx="15">
                  <c:v>16</c:v>
                </c:pt>
                <c:pt idx="16">
                  <c:v>10</c:v>
                </c:pt>
                <c:pt idx="17">
                  <c:v>1</c:v>
                </c:pt>
                <c:pt idx="18">
                  <c:v>17</c:v>
                </c:pt>
                <c:pt idx="19">
                  <c:v>20</c:v>
                </c:pt>
                <c:pt idx="20">
                  <c:v>21</c:v>
                </c:pt>
                <c:pt idx="21">
                  <c:v>7</c:v>
                </c:pt>
                <c:pt idx="22">
                  <c:v>6</c:v>
                </c:pt>
                <c:pt idx="23">
                  <c:v>9</c:v>
                </c:pt>
                <c:pt idx="24">
                  <c:v>20</c:v>
                </c:pt>
                <c:pt idx="25">
                  <c:v>31</c:v>
                </c:pt>
                <c:pt idx="26">
                  <c:v>8</c:v>
                </c:pt>
                <c:pt idx="27">
                  <c:v>2</c:v>
                </c:pt>
                <c:pt idx="28">
                  <c:v>26</c:v>
                </c:pt>
                <c:pt idx="29">
                  <c:v>22</c:v>
                </c:pt>
                <c:pt idx="30">
                  <c:v>27</c:v>
                </c:pt>
                <c:pt idx="31">
                  <c:v>3</c:v>
                </c:pt>
                <c:pt idx="32">
                  <c:v>13</c:v>
                </c:pt>
                <c:pt idx="33">
                  <c:v>25</c:v>
                </c:pt>
                <c:pt idx="34">
                  <c:v>12</c:v>
                </c:pt>
                <c:pt idx="35">
                  <c:v>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5-4F05-9F82-E80ED7A20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062857840"/>
        <c:axId val="-1062864368"/>
      </c:barChart>
      <c:catAx>
        <c:axId val="-106285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64368"/>
        <c:crosses val="autoZero"/>
        <c:auto val="1"/>
        <c:lblAlgn val="ctr"/>
        <c:lblOffset val="100"/>
        <c:noMultiLvlLbl val="0"/>
      </c:catAx>
      <c:valAx>
        <c:axId val="-106286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5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'7)DGR_VS_SR_PIVOT'!$B$3</c:f>
              <c:strCache>
                <c:ptCount val="1"/>
                <c:pt idx="0">
                  <c:v>RANK DIFF.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'7)DGR_VS_SR_PIVOT'!$A$4:$A$39</c:f>
              <c:strCache>
                <c:ptCount val="36"/>
                <c:pt idx="0">
                  <c:v>A &amp; N Islands</c:v>
                </c:pt>
                <c:pt idx="1">
                  <c:v>Andhra Pradesh</c:v>
                </c:pt>
                <c:pt idx="2">
                  <c:v>Arunachal Pradesh</c:v>
                </c:pt>
                <c:pt idx="3">
                  <c:v>Assam</c:v>
                </c:pt>
                <c:pt idx="4">
                  <c:v>Bihar</c:v>
                </c:pt>
                <c:pt idx="5">
                  <c:v>Chandigarh</c:v>
                </c:pt>
                <c:pt idx="6">
                  <c:v>Chhattisgarh</c:v>
                </c:pt>
                <c:pt idx="7">
                  <c:v>D &amp; N Haveli</c:v>
                </c:pt>
                <c:pt idx="8">
                  <c:v>Daman &amp; Diu</c:v>
                </c:pt>
                <c:pt idx="9">
                  <c:v>Goa</c:v>
                </c:pt>
                <c:pt idx="10">
                  <c:v>Gujarat</c:v>
                </c:pt>
                <c:pt idx="11">
                  <c:v>Haryana</c:v>
                </c:pt>
                <c:pt idx="12">
                  <c:v>Himachal Pradesh</c:v>
                </c:pt>
                <c:pt idx="13">
                  <c:v>Jammu &amp; Kashmir</c:v>
                </c:pt>
                <c:pt idx="14">
                  <c:v>Jharkhand</c:v>
                </c:pt>
                <c:pt idx="15">
                  <c:v>Karnataka</c:v>
                </c:pt>
                <c:pt idx="16">
                  <c:v>Kerala</c:v>
                </c:pt>
                <c:pt idx="17">
                  <c:v>Lakshadweep</c:v>
                </c:pt>
                <c:pt idx="18">
                  <c:v>Madhya Pradesh</c:v>
                </c:pt>
                <c:pt idx="19">
                  <c:v>Maharashtra</c:v>
                </c:pt>
                <c:pt idx="20">
                  <c:v>Manipur</c:v>
                </c:pt>
                <c:pt idx="21">
                  <c:v>Meghalaya</c:v>
                </c:pt>
                <c:pt idx="22">
                  <c:v>Mizoram</c:v>
                </c:pt>
                <c:pt idx="23">
                  <c:v>Nagaland</c:v>
                </c:pt>
                <c:pt idx="24">
                  <c:v>NCT of Delhi</c:v>
                </c:pt>
                <c:pt idx="25">
                  <c:v>Odisha</c:v>
                </c:pt>
                <c:pt idx="26">
                  <c:v>Puducherry</c:v>
                </c:pt>
                <c:pt idx="27">
                  <c:v>Punjab</c:v>
                </c:pt>
                <c:pt idx="28">
                  <c:v>Rajasthan</c:v>
                </c:pt>
                <c:pt idx="29">
                  <c:v>Sikkim</c:v>
                </c:pt>
                <c:pt idx="30">
                  <c:v>Tamil Nadu</c:v>
                </c:pt>
                <c:pt idx="31">
                  <c:v>Tripura</c:v>
                </c:pt>
                <c:pt idx="32">
                  <c:v>Uttar Pradesh</c:v>
                </c:pt>
                <c:pt idx="33">
                  <c:v>Uttarakhand</c:v>
                </c:pt>
                <c:pt idx="34">
                  <c:v>West Bengal</c:v>
                </c:pt>
                <c:pt idx="35">
                  <c:v>Grand Total</c:v>
                </c:pt>
              </c:strCache>
            </c:strRef>
          </c:cat>
          <c:val>
            <c:numRef>
              <c:f>'7)DGR_VS_SR_PIVOT'!$B$4:$B$39</c:f>
              <c:numCache>
                <c:formatCode>General</c:formatCode>
                <c:ptCount val="36"/>
                <c:pt idx="0">
                  <c:v>7</c:v>
                </c:pt>
                <c:pt idx="1">
                  <c:v>15.5</c:v>
                </c:pt>
                <c:pt idx="2">
                  <c:v>2</c:v>
                </c:pt>
                <c:pt idx="3">
                  <c:v>9</c:v>
                </c:pt>
                <c:pt idx="4">
                  <c:v>31.5</c:v>
                </c:pt>
                <c:pt idx="5">
                  <c:v>4.5</c:v>
                </c:pt>
                <c:pt idx="6">
                  <c:v>28</c:v>
                </c:pt>
                <c:pt idx="7">
                  <c:v>34</c:v>
                </c:pt>
                <c:pt idx="8">
                  <c:v>35</c:v>
                </c:pt>
                <c:pt idx="9">
                  <c:v>19</c:v>
                </c:pt>
                <c:pt idx="10">
                  <c:v>31.5</c:v>
                </c:pt>
                <c:pt idx="11">
                  <c:v>11</c:v>
                </c:pt>
                <c:pt idx="12">
                  <c:v>27</c:v>
                </c:pt>
                <c:pt idx="13">
                  <c:v>33</c:v>
                </c:pt>
                <c:pt idx="14">
                  <c:v>25</c:v>
                </c:pt>
                <c:pt idx="15">
                  <c:v>21</c:v>
                </c:pt>
                <c:pt idx="16">
                  <c:v>8</c:v>
                </c:pt>
                <c:pt idx="17">
                  <c:v>32</c:v>
                </c:pt>
                <c:pt idx="18">
                  <c:v>19</c:v>
                </c:pt>
                <c:pt idx="19">
                  <c:v>25</c:v>
                </c:pt>
                <c:pt idx="20">
                  <c:v>25</c:v>
                </c:pt>
                <c:pt idx="21">
                  <c:v>12</c:v>
                </c:pt>
                <c:pt idx="22">
                  <c:v>4.5</c:v>
                </c:pt>
                <c:pt idx="23">
                  <c:v>6</c:v>
                </c:pt>
                <c:pt idx="24">
                  <c:v>1</c:v>
                </c:pt>
                <c:pt idx="25">
                  <c:v>25</c:v>
                </c:pt>
                <c:pt idx="26">
                  <c:v>5</c:v>
                </c:pt>
                <c:pt idx="27">
                  <c:v>10</c:v>
                </c:pt>
                <c:pt idx="28">
                  <c:v>25</c:v>
                </c:pt>
                <c:pt idx="29">
                  <c:v>15.5</c:v>
                </c:pt>
                <c:pt idx="30">
                  <c:v>20</c:v>
                </c:pt>
                <c:pt idx="31">
                  <c:v>19</c:v>
                </c:pt>
                <c:pt idx="32">
                  <c:v>16</c:v>
                </c:pt>
                <c:pt idx="33">
                  <c:v>29</c:v>
                </c:pt>
                <c:pt idx="34">
                  <c:v>13</c:v>
                </c:pt>
                <c:pt idx="35">
                  <c:v>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6-499D-8D02-06504A48C15B}"/>
            </c:ext>
          </c:extLst>
        </c:ser>
        <c:ser>
          <c:idx val="1"/>
          <c:order val="1"/>
          <c:tx>
            <c:strRef>
              <c:f>'7)DGR_VS_SR_PIVOT'!$C$3</c:f>
              <c:strCache>
                <c:ptCount val="1"/>
                <c:pt idx="0">
                  <c:v>RANK DGR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'7)DGR_VS_SR_PIVOT'!$A$4:$A$39</c:f>
              <c:strCache>
                <c:ptCount val="36"/>
                <c:pt idx="0">
                  <c:v>A &amp; N Islands</c:v>
                </c:pt>
                <c:pt idx="1">
                  <c:v>Andhra Pradesh</c:v>
                </c:pt>
                <c:pt idx="2">
                  <c:v>Arunachal Pradesh</c:v>
                </c:pt>
                <c:pt idx="3">
                  <c:v>Assam</c:v>
                </c:pt>
                <c:pt idx="4">
                  <c:v>Bihar</c:v>
                </c:pt>
                <c:pt idx="5">
                  <c:v>Chandigarh</c:v>
                </c:pt>
                <c:pt idx="6">
                  <c:v>Chhattisgarh</c:v>
                </c:pt>
                <c:pt idx="7">
                  <c:v>D &amp; N Haveli</c:v>
                </c:pt>
                <c:pt idx="8">
                  <c:v>Daman &amp; Diu</c:v>
                </c:pt>
                <c:pt idx="9">
                  <c:v>Goa</c:v>
                </c:pt>
                <c:pt idx="10">
                  <c:v>Gujarat</c:v>
                </c:pt>
                <c:pt idx="11">
                  <c:v>Haryana</c:v>
                </c:pt>
                <c:pt idx="12">
                  <c:v>Himachal Pradesh</c:v>
                </c:pt>
                <c:pt idx="13">
                  <c:v>Jammu &amp; Kashmir</c:v>
                </c:pt>
                <c:pt idx="14">
                  <c:v>Jharkhand</c:v>
                </c:pt>
                <c:pt idx="15">
                  <c:v>Karnataka</c:v>
                </c:pt>
                <c:pt idx="16">
                  <c:v>Kerala</c:v>
                </c:pt>
                <c:pt idx="17">
                  <c:v>Lakshadweep</c:v>
                </c:pt>
                <c:pt idx="18">
                  <c:v>Madhya Pradesh</c:v>
                </c:pt>
                <c:pt idx="19">
                  <c:v>Maharashtra</c:v>
                </c:pt>
                <c:pt idx="20">
                  <c:v>Manipur</c:v>
                </c:pt>
                <c:pt idx="21">
                  <c:v>Meghalaya</c:v>
                </c:pt>
                <c:pt idx="22">
                  <c:v>Mizoram</c:v>
                </c:pt>
                <c:pt idx="23">
                  <c:v>Nagaland</c:v>
                </c:pt>
                <c:pt idx="24">
                  <c:v>NCT of Delhi</c:v>
                </c:pt>
                <c:pt idx="25">
                  <c:v>Odisha</c:v>
                </c:pt>
                <c:pt idx="26">
                  <c:v>Puducherry</c:v>
                </c:pt>
                <c:pt idx="27">
                  <c:v>Punjab</c:v>
                </c:pt>
                <c:pt idx="28">
                  <c:v>Rajasthan</c:v>
                </c:pt>
                <c:pt idx="29">
                  <c:v>Sikkim</c:v>
                </c:pt>
                <c:pt idx="30">
                  <c:v>Tamil Nadu</c:v>
                </c:pt>
                <c:pt idx="31">
                  <c:v>Tripura</c:v>
                </c:pt>
                <c:pt idx="32">
                  <c:v>Uttar Pradesh</c:v>
                </c:pt>
                <c:pt idx="33">
                  <c:v>Uttarakhand</c:v>
                </c:pt>
                <c:pt idx="34">
                  <c:v>West Bengal</c:v>
                </c:pt>
                <c:pt idx="35">
                  <c:v>Grand Total</c:v>
                </c:pt>
              </c:strCache>
            </c:strRef>
          </c:cat>
          <c:val>
            <c:numRef>
              <c:f>'7)DGR_VS_SR_PIVOT'!$C$4:$C$39</c:f>
              <c:numCache>
                <c:formatCode>General</c:formatCode>
                <c:ptCount val="36"/>
                <c:pt idx="0">
                  <c:v>32</c:v>
                </c:pt>
                <c:pt idx="1">
                  <c:v>30</c:v>
                </c:pt>
                <c:pt idx="2">
                  <c:v>5</c:v>
                </c:pt>
                <c:pt idx="3">
                  <c:v>20</c:v>
                </c:pt>
                <c:pt idx="4">
                  <c:v>6</c:v>
                </c:pt>
                <c:pt idx="5">
                  <c:v>19</c:v>
                </c:pt>
                <c:pt idx="6">
                  <c:v>10</c:v>
                </c:pt>
                <c:pt idx="7">
                  <c:v>1</c:v>
                </c:pt>
                <c:pt idx="8">
                  <c:v>2</c:v>
                </c:pt>
                <c:pt idx="9">
                  <c:v>31</c:v>
                </c:pt>
                <c:pt idx="10">
                  <c:v>17</c:v>
                </c:pt>
                <c:pt idx="11">
                  <c:v>16</c:v>
                </c:pt>
                <c:pt idx="12">
                  <c:v>29.5</c:v>
                </c:pt>
                <c:pt idx="13">
                  <c:v>8</c:v>
                </c:pt>
                <c:pt idx="14">
                  <c:v>11</c:v>
                </c:pt>
                <c:pt idx="15">
                  <c:v>23.5</c:v>
                </c:pt>
                <c:pt idx="16">
                  <c:v>34</c:v>
                </c:pt>
                <c:pt idx="17">
                  <c:v>33</c:v>
                </c:pt>
                <c:pt idx="18">
                  <c:v>14</c:v>
                </c:pt>
                <c:pt idx="19">
                  <c:v>21</c:v>
                </c:pt>
                <c:pt idx="20">
                  <c:v>7</c:v>
                </c:pt>
                <c:pt idx="21">
                  <c:v>4</c:v>
                </c:pt>
                <c:pt idx="22">
                  <c:v>9</c:v>
                </c:pt>
                <c:pt idx="23">
                  <c:v>35</c:v>
                </c:pt>
                <c:pt idx="24">
                  <c:v>13</c:v>
                </c:pt>
                <c:pt idx="25">
                  <c:v>25</c:v>
                </c:pt>
                <c:pt idx="26">
                  <c:v>3</c:v>
                </c:pt>
                <c:pt idx="27">
                  <c:v>26</c:v>
                </c:pt>
                <c:pt idx="28">
                  <c:v>12</c:v>
                </c:pt>
                <c:pt idx="29">
                  <c:v>29.5</c:v>
                </c:pt>
                <c:pt idx="30">
                  <c:v>23.5</c:v>
                </c:pt>
                <c:pt idx="31">
                  <c:v>24</c:v>
                </c:pt>
                <c:pt idx="32">
                  <c:v>15</c:v>
                </c:pt>
                <c:pt idx="33">
                  <c:v>18</c:v>
                </c:pt>
                <c:pt idx="34">
                  <c:v>27</c:v>
                </c:pt>
                <c:pt idx="35">
                  <c:v>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76-499D-8D02-06504A48C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062866000"/>
        <c:axId val="-1062863824"/>
      </c:barChart>
      <c:catAx>
        <c:axId val="-106286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63824"/>
        <c:crosses val="autoZero"/>
        <c:auto val="1"/>
        <c:lblAlgn val="ctr"/>
        <c:lblOffset val="100"/>
        <c:noMultiLvlLbl val="0"/>
      </c:catAx>
      <c:valAx>
        <c:axId val="-106286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86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etp project vba POWERPIVOT (2) (2).xlsm]ZONES WISE!PivotTable1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2.1666666666666699E-2"/>
              <c:y val="3.888888888888890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1123714089188"/>
          <c:y val="0.17685185185185201"/>
          <c:w val="0.71832073035525701"/>
          <c:h val="0.518842592592593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'ZONES WISE'!$B$3</c:f>
              <c:strCache>
                <c:ptCount val="1"/>
                <c:pt idx="0">
                  <c:v>Sum of  Total - 2011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'ZONES WISE'!$A$4:$A$11</c:f>
              <c:multiLvlStrCache>
                <c:ptCount val="6"/>
                <c:lvl>
                  <c:pt idx="0">
                    <c:v>Haryana</c:v>
                  </c:pt>
                  <c:pt idx="1">
                    <c:v>Himachal Pradesh</c:v>
                  </c:pt>
                  <c:pt idx="2">
                    <c:v>Jammu &amp; Kashmir</c:v>
                  </c:pt>
                  <c:pt idx="3">
                    <c:v>Punjab</c:v>
                  </c:pt>
                  <c:pt idx="4">
                    <c:v>Uttar Pradesh</c:v>
                  </c:pt>
                  <c:pt idx="5">
                    <c:v>Uttarakhand</c:v>
                  </c:pt>
                </c:lvl>
                <c:lvl>
                  <c:pt idx="0">
                    <c:v>North</c:v>
                  </c:pt>
                </c:lvl>
              </c:multiLvlStrCache>
            </c:multiLvlStrRef>
          </c:cat>
          <c:val>
            <c:numRef>
              <c:f>'ZONES WISE'!$B$4:$B$11</c:f>
              <c:numCache>
                <c:formatCode>General</c:formatCode>
                <c:ptCount val="6"/>
                <c:pt idx="0">
                  <c:v>879</c:v>
                </c:pt>
                <c:pt idx="1">
                  <c:v>972</c:v>
                </c:pt>
                <c:pt idx="2">
                  <c:v>889</c:v>
                </c:pt>
                <c:pt idx="3">
                  <c:v>895</c:v>
                </c:pt>
                <c:pt idx="4">
                  <c:v>912</c:v>
                </c:pt>
                <c:pt idx="5">
                  <c:v>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91-4C28-8978-A94FFE9896D8}"/>
            </c:ext>
          </c:extLst>
        </c:ser>
        <c:ser>
          <c:idx val="1"/>
          <c:order val="1"/>
          <c:tx>
            <c:strRef>
              <c:f>'ZONES WISE'!$C$3</c:f>
              <c:strCache>
                <c:ptCount val="1"/>
                <c:pt idx="0">
                  <c:v>Sum of  Total - 2001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091-4C28-8978-A94FFE9896D8}"/>
              </c:ext>
            </c:extLst>
          </c:dPt>
          <c:dLbls>
            <c:dLbl>
              <c:idx val="5"/>
              <c:layout>
                <c:manualLayout>
                  <c:x val="2.1666666666666699E-2"/>
                  <c:y val="3.88888888888889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en-US"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091-4C28-8978-A94FFE9896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'ZONES WISE'!$A$4:$A$11</c:f>
              <c:multiLvlStrCache>
                <c:ptCount val="6"/>
                <c:lvl>
                  <c:pt idx="0">
                    <c:v>Haryana</c:v>
                  </c:pt>
                  <c:pt idx="1">
                    <c:v>Himachal Pradesh</c:v>
                  </c:pt>
                  <c:pt idx="2">
                    <c:v>Jammu &amp; Kashmir</c:v>
                  </c:pt>
                  <c:pt idx="3">
                    <c:v>Punjab</c:v>
                  </c:pt>
                  <c:pt idx="4">
                    <c:v>Uttar Pradesh</c:v>
                  </c:pt>
                  <c:pt idx="5">
                    <c:v>Uttarakhand</c:v>
                  </c:pt>
                </c:lvl>
                <c:lvl>
                  <c:pt idx="0">
                    <c:v>North</c:v>
                  </c:pt>
                </c:lvl>
              </c:multiLvlStrCache>
            </c:multiLvlStrRef>
          </c:cat>
          <c:val>
            <c:numRef>
              <c:f>'ZONES WISE'!$C$4:$C$11</c:f>
              <c:numCache>
                <c:formatCode>General</c:formatCode>
                <c:ptCount val="6"/>
                <c:pt idx="0">
                  <c:v>861</c:v>
                </c:pt>
                <c:pt idx="1">
                  <c:v>968</c:v>
                </c:pt>
                <c:pt idx="2">
                  <c:v>892</c:v>
                </c:pt>
                <c:pt idx="3">
                  <c:v>876</c:v>
                </c:pt>
                <c:pt idx="4">
                  <c:v>898</c:v>
                </c:pt>
                <c:pt idx="5">
                  <c:v>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91-4C28-8978-A94FFE9896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39780273"/>
        <c:axId val="848081218"/>
      </c:barChart>
      <c:catAx>
        <c:axId val="73978027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081218"/>
        <c:crosses val="autoZero"/>
        <c:auto val="1"/>
        <c:lblAlgn val="ctr"/>
        <c:lblOffset val="100"/>
        <c:noMultiLvlLbl val="0"/>
      </c:catAx>
      <c:valAx>
        <c:axId val="84808121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3978027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527777777777795"/>
          <c:y val="6.9444444444444397E-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etp project vba POWERPIVOT (2) (2).xlsm]BOTTOM 5 SEX RATIO OF 2011!PivotTable10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'BOTTOM 5 SEX RATIO OF 2011'!$B$3</c:f>
              <c:strCache>
                <c:ptCount val="1"/>
                <c:pt idx="0">
                  <c:v>Sum of  Total - 2001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'BOTTOM 5 SEX RATIO OF 2011'!$A$4:$A$9</c:f>
              <c:strCache>
                <c:ptCount val="5"/>
                <c:pt idx="0">
                  <c:v>A &amp; N Islands</c:v>
                </c:pt>
                <c:pt idx="1">
                  <c:v>Chandigarh</c:v>
                </c:pt>
                <c:pt idx="2">
                  <c:v>D &amp; N Haveli</c:v>
                </c:pt>
                <c:pt idx="3">
                  <c:v>Daman &amp; Diu</c:v>
                </c:pt>
                <c:pt idx="4">
                  <c:v>NCT of Delhi</c:v>
                </c:pt>
              </c:strCache>
            </c:strRef>
          </c:cat>
          <c:val>
            <c:numRef>
              <c:f>'BOTTOM 5 SEX RATIO OF 2011'!$B$4:$B$9</c:f>
              <c:numCache>
                <c:formatCode>General</c:formatCode>
                <c:ptCount val="5"/>
                <c:pt idx="0">
                  <c:v>846</c:v>
                </c:pt>
                <c:pt idx="1">
                  <c:v>777</c:v>
                </c:pt>
                <c:pt idx="2">
                  <c:v>812</c:v>
                </c:pt>
                <c:pt idx="3">
                  <c:v>710</c:v>
                </c:pt>
                <c:pt idx="4">
                  <c:v>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8E-478F-9A1F-55EE775E695B}"/>
            </c:ext>
          </c:extLst>
        </c:ser>
        <c:ser>
          <c:idx val="1"/>
          <c:order val="1"/>
          <c:tx>
            <c:strRef>
              <c:f>'BOTTOM 5 SEX RATIO OF 2011'!$C$3</c:f>
              <c:strCache>
                <c:ptCount val="1"/>
                <c:pt idx="0">
                  <c:v>Sum of  Total - 2011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'BOTTOM 5 SEX RATIO OF 2011'!$A$4:$A$9</c:f>
              <c:strCache>
                <c:ptCount val="5"/>
                <c:pt idx="0">
                  <c:v>A &amp; N Islands</c:v>
                </c:pt>
                <c:pt idx="1">
                  <c:v>Chandigarh</c:v>
                </c:pt>
                <c:pt idx="2">
                  <c:v>D &amp; N Haveli</c:v>
                </c:pt>
                <c:pt idx="3">
                  <c:v>Daman &amp; Diu</c:v>
                </c:pt>
                <c:pt idx="4">
                  <c:v>NCT of Delhi</c:v>
                </c:pt>
              </c:strCache>
            </c:strRef>
          </c:cat>
          <c:val>
            <c:numRef>
              <c:f>'BOTTOM 5 SEX RATIO OF 2011'!$C$4:$C$9</c:f>
              <c:numCache>
                <c:formatCode>General</c:formatCode>
                <c:ptCount val="5"/>
                <c:pt idx="0">
                  <c:v>876</c:v>
                </c:pt>
                <c:pt idx="1">
                  <c:v>818</c:v>
                </c:pt>
                <c:pt idx="2">
                  <c:v>774</c:v>
                </c:pt>
                <c:pt idx="3">
                  <c:v>618</c:v>
                </c:pt>
                <c:pt idx="4">
                  <c:v>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8E-478F-9A1F-55EE775E6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5330808"/>
        <c:axId val="1225334008"/>
      </c:barChart>
      <c:catAx>
        <c:axId val="1225330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5334008"/>
        <c:crosses val="autoZero"/>
        <c:auto val="1"/>
        <c:lblAlgn val="ctr"/>
        <c:lblOffset val="100"/>
        <c:noMultiLvlLbl val="0"/>
      </c:catAx>
      <c:valAx>
        <c:axId val="122533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5330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etp project vba POWERPIVOT (2) (2).xlsm]RATIO OF RURAL TO URBAN!PivotTable11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'RATIO OF RURAL TO URBAN'!$B$3</c:f>
              <c:strCache>
                <c:ptCount val="1"/>
                <c:pt idx="0">
                  <c:v>Sum of RATIO OF RURAL TO URBAN(2001)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'RATIO OF RURAL TO URBAN'!$A$4:$A$40</c:f>
              <c:strCache>
                <c:ptCount val="36"/>
                <c:pt idx="0">
                  <c:v>A &amp; N Islands</c:v>
                </c:pt>
                <c:pt idx="1">
                  <c:v>Andhra Pradesh</c:v>
                </c:pt>
                <c:pt idx="2">
                  <c:v>Arunachal Pradesh</c:v>
                </c:pt>
                <c:pt idx="3">
                  <c:v>Assam</c:v>
                </c:pt>
                <c:pt idx="4">
                  <c:v>Bihar</c:v>
                </c:pt>
                <c:pt idx="5">
                  <c:v>Chandigarh</c:v>
                </c:pt>
                <c:pt idx="6">
                  <c:v>Chhattisgarh</c:v>
                </c:pt>
                <c:pt idx="7">
                  <c:v>D &amp; N Haveli</c:v>
                </c:pt>
                <c:pt idx="8">
                  <c:v>Daman &amp; Diu</c:v>
                </c:pt>
                <c:pt idx="9">
                  <c:v>Goa</c:v>
                </c:pt>
                <c:pt idx="10">
                  <c:v>Gujarat</c:v>
                </c:pt>
                <c:pt idx="11">
                  <c:v>Haryana</c:v>
                </c:pt>
                <c:pt idx="12">
                  <c:v>Himachal Pradesh</c:v>
                </c:pt>
                <c:pt idx="13">
                  <c:v>Jammu &amp; Kashmir</c:v>
                </c:pt>
                <c:pt idx="14">
                  <c:v>Jharkhand</c:v>
                </c:pt>
                <c:pt idx="15">
                  <c:v>Karnataka</c:v>
                </c:pt>
                <c:pt idx="16">
                  <c:v>Kerala</c:v>
                </c:pt>
                <c:pt idx="17">
                  <c:v>Lakshadweep</c:v>
                </c:pt>
                <c:pt idx="18">
                  <c:v>Madhya Pradesh</c:v>
                </c:pt>
                <c:pt idx="19">
                  <c:v>Maharashtra</c:v>
                </c:pt>
                <c:pt idx="20">
                  <c:v>Manipur</c:v>
                </c:pt>
                <c:pt idx="21">
                  <c:v>Meghalaya</c:v>
                </c:pt>
                <c:pt idx="22">
                  <c:v>Mizoram</c:v>
                </c:pt>
                <c:pt idx="23">
                  <c:v>Nagaland</c:v>
                </c:pt>
                <c:pt idx="24">
                  <c:v>NCT of Delhi</c:v>
                </c:pt>
                <c:pt idx="25">
                  <c:v>Odisha</c:v>
                </c:pt>
                <c:pt idx="26">
                  <c:v>Puducherry</c:v>
                </c:pt>
                <c:pt idx="27">
                  <c:v>Punjab</c:v>
                </c:pt>
                <c:pt idx="28">
                  <c:v>Rajasthan</c:v>
                </c:pt>
                <c:pt idx="29">
                  <c:v>Sikkim</c:v>
                </c:pt>
                <c:pt idx="30">
                  <c:v>Tamil Nadu</c:v>
                </c:pt>
                <c:pt idx="31">
                  <c:v>Tripura</c:v>
                </c:pt>
                <c:pt idx="32">
                  <c:v>Uttar Pradesh</c:v>
                </c:pt>
                <c:pt idx="33">
                  <c:v>Uttarakhand</c:v>
                </c:pt>
                <c:pt idx="34">
                  <c:v>West Bengal</c:v>
                </c:pt>
                <c:pt idx="35">
                  <c:v>(blank)</c:v>
                </c:pt>
              </c:strCache>
            </c:strRef>
          </c:cat>
          <c:val>
            <c:numRef>
              <c:f>'RATIO OF RURAL TO URBAN'!$B$4:$B$40</c:f>
              <c:numCache>
                <c:formatCode>General</c:formatCode>
                <c:ptCount val="36"/>
                <c:pt idx="0">
                  <c:v>1.0564417177914109</c:v>
                </c:pt>
                <c:pt idx="1">
                  <c:v>1.0186528497409326</c:v>
                </c:pt>
                <c:pt idx="2">
                  <c:v>1.115995115995116</c:v>
                </c:pt>
                <c:pt idx="3">
                  <c:v>1.0825688073394495</c:v>
                </c:pt>
                <c:pt idx="4">
                  <c:v>1.066820276497696</c:v>
                </c:pt>
                <c:pt idx="5">
                  <c:v>0.78015075376884424</c:v>
                </c:pt>
                <c:pt idx="6">
                  <c:v>1.0772532188841202</c:v>
                </c:pt>
                <c:pt idx="7">
                  <c:v>1.2329956584659914</c:v>
                </c:pt>
                <c:pt idx="8">
                  <c:v>0.59552845528455289</c:v>
                </c:pt>
                <c:pt idx="9">
                  <c:v>1.0578158458244111</c:v>
                </c:pt>
                <c:pt idx="10">
                  <c:v>1.0738636363636365</c:v>
                </c:pt>
                <c:pt idx="11">
                  <c:v>1.0224321133412042</c:v>
                </c:pt>
                <c:pt idx="12">
                  <c:v>1.2440251572327043</c:v>
                </c:pt>
                <c:pt idx="13">
                  <c:v>1.1196581196581197</c:v>
                </c:pt>
                <c:pt idx="14">
                  <c:v>1.1057471264367815</c:v>
                </c:pt>
                <c:pt idx="15">
                  <c:v>1.0371549893842889</c:v>
                </c:pt>
                <c:pt idx="16">
                  <c:v>1.0009451795841209</c:v>
                </c:pt>
                <c:pt idx="17">
                  <c:v>1.0256684491978609</c:v>
                </c:pt>
                <c:pt idx="18">
                  <c:v>1.0322939866369711</c:v>
                </c:pt>
                <c:pt idx="19">
                  <c:v>1.0996563573883162</c:v>
                </c:pt>
                <c:pt idx="20">
                  <c:v>0.95837462834489595</c:v>
                </c:pt>
                <c:pt idx="21">
                  <c:v>0.98676171079429731</c:v>
                </c:pt>
                <c:pt idx="22">
                  <c:v>0.97362869198312241</c:v>
                </c:pt>
                <c:pt idx="23">
                  <c:v>1.1049457177322075</c:v>
                </c:pt>
                <c:pt idx="24">
                  <c:v>0.98540145985401462</c:v>
                </c:pt>
                <c:pt idx="25">
                  <c:v>1.1027932960893854</c:v>
                </c:pt>
                <c:pt idx="26">
                  <c:v>0.98311817279046676</c:v>
                </c:pt>
                <c:pt idx="27">
                  <c:v>1.0482921083627796</c:v>
                </c:pt>
                <c:pt idx="28">
                  <c:v>1.0449438202247192</c:v>
                </c:pt>
                <c:pt idx="29">
                  <c:v>1.0602409638554218</c:v>
                </c:pt>
                <c:pt idx="30">
                  <c:v>1.0101832993890021</c:v>
                </c:pt>
                <c:pt idx="31">
                  <c:v>0.986444212721585</c:v>
                </c:pt>
                <c:pt idx="32">
                  <c:v>1.0319634703196348</c:v>
                </c:pt>
                <c:pt idx="33">
                  <c:v>1.1917159763313609</c:v>
                </c:pt>
                <c:pt idx="34">
                  <c:v>1.0638297872340425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DB-4E05-B04E-45AC6B9190C4}"/>
            </c:ext>
          </c:extLst>
        </c:ser>
        <c:ser>
          <c:idx val="1"/>
          <c:order val="1"/>
          <c:tx>
            <c:strRef>
              <c:f>'RATIO OF RURAL TO URBAN'!$C$3</c:f>
              <c:strCache>
                <c:ptCount val="1"/>
                <c:pt idx="0">
                  <c:v>Sum of RATIO OF RURAL TO URBAN(2011)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'RATIO OF RURAL TO URBAN'!$A$4:$A$40</c:f>
              <c:strCache>
                <c:ptCount val="36"/>
                <c:pt idx="0">
                  <c:v>A &amp; N Islands</c:v>
                </c:pt>
                <c:pt idx="1">
                  <c:v>Andhra Pradesh</c:v>
                </c:pt>
                <c:pt idx="2">
                  <c:v>Arunachal Pradesh</c:v>
                </c:pt>
                <c:pt idx="3">
                  <c:v>Assam</c:v>
                </c:pt>
                <c:pt idx="4">
                  <c:v>Bihar</c:v>
                </c:pt>
                <c:pt idx="5">
                  <c:v>Chandigarh</c:v>
                </c:pt>
                <c:pt idx="6">
                  <c:v>Chhattisgarh</c:v>
                </c:pt>
                <c:pt idx="7">
                  <c:v>D &amp; N Haveli</c:v>
                </c:pt>
                <c:pt idx="8">
                  <c:v>Daman &amp; Diu</c:v>
                </c:pt>
                <c:pt idx="9">
                  <c:v>Goa</c:v>
                </c:pt>
                <c:pt idx="10">
                  <c:v>Gujarat</c:v>
                </c:pt>
                <c:pt idx="11">
                  <c:v>Haryana</c:v>
                </c:pt>
                <c:pt idx="12">
                  <c:v>Himachal Pradesh</c:v>
                </c:pt>
                <c:pt idx="13">
                  <c:v>Jammu &amp; Kashmir</c:v>
                </c:pt>
                <c:pt idx="14">
                  <c:v>Jharkhand</c:v>
                </c:pt>
                <c:pt idx="15">
                  <c:v>Karnataka</c:v>
                </c:pt>
                <c:pt idx="16">
                  <c:v>Kerala</c:v>
                </c:pt>
                <c:pt idx="17">
                  <c:v>Lakshadweep</c:v>
                </c:pt>
                <c:pt idx="18">
                  <c:v>Madhya Pradesh</c:v>
                </c:pt>
                <c:pt idx="19">
                  <c:v>Maharashtra</c:v>
                </c:pt>
                <c:pt idx="20">
                  <c:v>Manipur</c:v>
                </c:pt>
                <c:pt idx="21">
                  <c:v>Meghalaya</c:v>
                </c:pt>
                <c:pt idx="22">
                  <c:v>Mizoram</c:v>
                </c:pt>
                <c:pt idx="23">
                  <c:v>Nagaland</c:v>
                </c:pt>
                <c:pt idx="24">
                  <c:v>NCT of Delhi</c:v>
                </c:pt>
                <c:pt idx="25">
                  <c:v>Odisha</c:v>
                </c:pt>
                <c:pt idx="26">
                  <c:v>Puducherry</c:v>
                </c:pt>
                <c:pt idx="27">
                  <c:v>Punjab</c:v>
                </c:pt>
                <c:pt idx="28">
                  <c:v>Rajasthan</c:v>
                </c:pt>
                <c:pt idx="29">
                  <c:v>Sikkim</c:v>
                </c:pt>
                <c:pt idx="30">
                  <c:v>Tamil Nadu</c:v>
                </c:pt>
                <c:pt idx="31">
                  <c:v>Tripura</c:v>
                </c:pt>
                <c:pt idx="32">
                  <c:v>Uttar Pradesh</c:v>
                </c:pt>
                <c:pt idx="33">
                  <c:v>Uttarakhand</c:v>
                </c:pt>
                <c:pt idx="34">
                  <c:v>West Bengal</c:v>
                </c:pt>
                <c:pt idx="35">
                  <c:v>(blank)</c:v>
                </c:pt>
              </c:strCache>
            </c:strRef>
          </c:cat>
          <c:val>
            <c:numRef>
              <c:f>'RATIO OF RURAL TO URBAN'!$C$4:$C$40</c:f>
              <c:numCache>
                <c:formatCode>General</c:formatCode>
                <c:ptCount val="36"/>
                <c:pt idx="0">
                  <c:v>1.0034324942791761</c:v>
                </c:pt>
                <c:pt idx="1">
                  <c:v>1.0091185410334347</c:v>
                </c:pt>
                <c:pt idx="2">
                  <c:v>1.0707865168539326</c:v>
                </c:pt>
                <c:pt idx="3">
                  <c:v>1.014799154334038</c:v>
                </c:pt>
                <c:pt idx="4">
                  <c:v>1.029050279329609</c:v>
                </c:pt>
                <c:pt idx="5">
                  <c:v>0.83941605839416056</c:v>
                </c:pt>
                <c:pt idx="6">
                  <c:v>1.0470711297071129</c:v>
                </c:pt>
                <c:pt idx="7">
                  <c:v>1.2653958944281525</c:v>
                </c:pt>
                <c:pt idx="8">
                  <c:v>1.5680580762250453</c:v>
                </c:pt>
                <c:pt idx="9">
                  <c:v>1.0491631799163179</c:v>
                </c:pt>
                <c:pt idx="10">
                  <c:v>1.0784090909090909</c:v>
                </c:pt>
                <c:pt idx="11">
                  <c:v>1.0103092783505154</c:v>
                </c:pt>
                <c:pt idx="12">
                  <c:v>1.1559202813599063</c:v>
                </c:pt>
                <c:pt idx="13">
                  <c:v>1.0809523809523809</c:v>
                </c:pt>
                <c:pt idx="14">
                  <c:v>1.0560439560439561</c:v>
                </c:pt>
                <c:pt idx="15">
                  <c:v>1.0166147455867083</c:v>
                </c:pt>
                <c:pt idx="16">
                  <c:v>0.98808432630614118</c:v>
                </c:pt>
                <c:pt idx="17">
                  <c:v>1.0074074074074073</c:v>
                </c:pt>
                <c:pt idx="18">
                  <c:v>1.0196078431372548</c:v>
                </c:pt>
                <c:pt idx="19">
                  <c:v>1.054263565891473</c:v>
                </c:pt>
                <c:pt idx="20">
                  <c:v>0.94444444444444442</c:v>
                </c:pt>
                <c:pt idx="21">
                  <c:v>0.98501498501498497</c:v>
                </c:pt>
                <c:pt idx="22">
                  <c:v>0.95390781563126248</c:v>
                </c:pt>
                <c:pt idx="23">
                  <c:v>1.0352422907488987</c:v>
                </c:pt>
                <c:pt idx="24">
                  <c:v>0.98156682027649766</c:v>
                </c:pt>
                <c:pt idx="25">
                  <c:v>1.0611587982832618</c:v>
                </c:pt>
                <c:pt idx="26">
                  <c:v>0.98656429942418422</c:v>
                </c:pt>
                <c:pt idx="27">
                  <c:v>1.0365714285714285</c:v>
                </c:pt>
                <c:pt idx="28">
                  <c:v>1.0207877461706782</c:v>
                </c:pt>
                <c:pt idx="29">
                  <c:v>0.96604600219058046</c:v>
                </c:pt>
                <c:pt idx="30">
                  <c:v>0.99299999999999999</c:v>
                </c:pt>
                <c:pt idx="31">
                  <c:v>0.98150051387461457</c:v>
                </c:pt>
                <c:pt idx="32">
                  <c:v>1.0268456375838926</c:v>
                </c:pt>
                <c:pt idx="33">
                  <c:v>1.1312217194570136</c:v>
                </c:pt>
                <c:pt idx="34">
                  <c:v>1.0095338983050848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DB-4E05-B04E-45AC6B919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5365368"/>
        <c:axId val="1225370168"/>
      </c:barChart>
      <c:catAx>
        <c:axId val="1225365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5370168"/>
        <c:crosses val="autoZero"/>
        <c:auto val="1"/>
        <c:lblAlgn val="ctr"/>
        <c:lblOffset val="100"/>
        <c:noMultiLvlLbl val="0"/>
      </c:catAx>
      <c:valAx>
        <c:axId val="1225370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5365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etp project vba POWERPIVOT (2) (2).xlsm]%CHANGE!PivotTable27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558641975308599"/>
          <c:y val="0.29027777579095598"/>
          <c:w val="0.53719135802469098"/>
          <c:h val="0.4906018538386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'%CHANGE'!$B$3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'%CHANGE'!$A$4:$A$14</c:f>
              <c:strCache>
                <c:ptCount val="10"/>
                <c:pt idx="0">
                  <c:v>A &amp; N Islands</c:v>
                </c:pt>
                <c:pt idx="1">
                  <c:v>Chandigarh</c:v>
                </c:pt>
                <c:pt idx="2">
                  <c:v>D &amp; N Haveli</c:v>
                </c:pt>
                <c:pt idx="3">
                  <c:v>Daman &amp; Diu</c:v>
                </c:pt>
                <c:pt idx="4">
                  <c:v>Himachal Pradesh</c:v>
                </c:pt>
                <c:pt idx="5">
                  <c:v>Kerala</c:v>
                </c:pt>
                <c:pt idx="6">
                  <c:v>Manipur</c:v>
                </c:pt>
                <c:pt idx="7">
                  <c:v>Puducherry</c:v>
                </c:pt>
                <c:pt idx="8">
                  <c:v>Sikkim</c:v>
                </c:pt>
                <c:pt idx="9">
                  <c:v>Uttarakhand</c:v>
                </c:pt>
              </c:strCache>
            </c:strRef>
          </c:cat>
          <c:val>
            <c:numRef>
              <c:f>'%CHANGE'!$B$4:$B$14</c:f>
              <c:numCache>
                <c:formatCode>General</c:formatCode>
                <c:ptCount val="10"/>
                <c:pt idx="0">
                  <c:v>9.5</c:v>
                </c:pt>
                <c:pt idx="1">
                  <c:v>7</c:v>
                </c:pt>
                <c:pt idx="2">
                  <c:v>16.399999999999999</c:v>
                </c:pt>
                <c:pt idx="3">
                  <c:v>31.6</c:v>
                </c:pt>
                <c:pt idx="4">
                  <c:v>6.9</c:v>
                </c:pt>
                <c:pt idx="5">
                  <c:v>12.4</c:v>
                </c:pt>
                <c:pt idx="6">
                  <c:v>5.9</c:v>
                </c:pt>
                <c:pt idx="7">
                  <c:v>7.2</c:v>
                </c:pt>
                <c:pt idx="8">
                  <c:v>7</c:v>
                </c:pt>
                <c:pt idx="9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66-49CB-838C-9F43FAD5A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8572408"/>
        <c:axId val="850396507"/>
      </c:barChart>
      <c:catAx>
        <c:axId val="9885724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396507"/>
        <c:crosses val="autoZero"/>
        <c:auto val="1"/>
        <c:lblAlgn val="ctr"/>
        <c:lblOffset val="100"/>
        <c:noMultiLvlLbl val="0"/>
      </c:catAx>
      <c:valAx>
        <c:axId val="8503965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8572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249999999999998"/>
          <c:y val="6.8055555555555494E-2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etp project vba POWERPIVOT (2) (2).xlsm]2001!PivotTable9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6944444444444402E-2"/>
          <c:y val="6.9444444444444397E-3"/>
          <c:w val="0.93888888888888899"/>
          <c:h val="0.837129629629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'2001'!$B$3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'2001'!$A$4:$A$9</c:f>
              <c:strCache>
                <c:ptCount val="5"/>
                <c:pt idx="0">
                  <c:v>Kerala</c:v>
                </c:pt>
                <c:pt idx="1">
                  <c:v>Mizoram</c:v>
                </c:pt>
                <c:pt idx="2">
                  <c:v>Lakshadweep</c:v>
                </c:pt>
                <c:pt idx="3">
                  <c:v>Goa</c:v>
                </c:pt>
                <c:pt idx="4">
                  <c:v>Chandigarh</c:v>
                </c:pt>
              </c:strCache>
            </c:strRef>
          </c:cat>
          <c:val>
            <c:numRef>
              <c:f>'2001'!$B$4:$B$9</c:f>
              <c:numCache>
                <c:formatCode>General</c:formatCode>
                <c:ptCount val="5"/>
                <c:pt idx="0">
                  <c:v>90.86</c:v>
                </c:pt>
                <c:pt idx="1">
                  <c:v>88.8</c:v>
                </c:pt>
                <c:pt idx="2">
                  <c:v>86.66</c:v>
                </c:pt>
                <c:pt idx="3">
                  <c:v>82.01</c:v>
                </c:pt>
                <c:pt idx="4">
                  <c:v>81.94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9C-42A8-84FA-2D463FDC52A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62250048"/>
        <c:axId val="472709975"/>
      </c:barChart>
      <c:catAx>
        <c:axId val="2622500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09975"/>
        <c:crosses val="autoZero"/>
        <c:auto val="1"/>
        <c:lblAlgn val="ctr"/>
        <c:lblOffset val="100"/>
        <c:noMultiLvlLbl val="0"/>
      </c:catAx>
      <c:valAx>
        <c:axId val="4727099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6225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etp project vba POWERPIVOT (2) (2).xlsm]2001!PivotTable25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411111111111099"/>
          <c:y val="0.29027777579095598"/>
          <c:w val="0.77311111111111097"/>
          <c:h val="0.641759261246080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'2001'!$B$23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'2001'!$A$24:$A$29</c:f>
              <c:strCache>
                <c:ptCount val="5"/>
                <c:pt idx="0">
                  <c:v>Kerala</c:v>
                </c:pt>
                <c:pt idx="1">
                  <c:v>Goa</c:v>
                </c:pt>
                <c:pt idx="2">
                  <c:v>Lakshadweep</c:v>
                </c:pt>
                <c:pt idx="3">
                  <c:v>Mizoram</c:v>
                </c:pt>
                <c:pt idx="4">
                  <c:v>Chandigarh</c:v>
                </c:pt>
              </c:strCache>
            </c:strRef>
          </c:cat>
          <c:val>
            <c:numRef>
              <c:f>'2001'!$B$24:$B$29</c:f>
              <c:numCache>
                <c:formatCode>General</c:formatCode>
                <c:ptCount val="5"/>
                <c:pt idx="0">
                  <c:v>1058</c:v>
                </c:pt>
                <c:pt idx="1">
                  <c:v>961</c:v>
                </c:pt>
                <c:pt idx="2">
                  <c:v>948</c:v>
                </c:pt>
                <c:pt idx="3">
                  <c:v>935</c:v>
                </c:pt>
                <c:pt idx="4">
                  <c:v>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4C-4771-A009-B4637421B38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0876665"/>
        <c:axId val="281220428"/>
      </c:barChart>
      <c:catAx>
        <c:axId val="11087666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220428"/>
        <c:crosses val="autoZero"/>
        <c:auto val="1"/>
        <c:lblAlgn val="ctr"/>
        <c:lblOffset val="100"/>
        <c:noMultiLvlLbl val="0"/>
      </c:catAx>
      <c:valAx>
        <c:axId val="2812204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087666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etp project vba POWERPIVOT (2) (2).xlsm]LITERACY RATE1!PivotTable26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'LITERACY RATE1'!$B$3</c:f>
              <c:strCache>
                <c:ptCount val="1"/>
                <c:pt idx="0">
                  <c:v>Sum of Literacy Rate-2001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'LITERACY RATE1'!$A$4:$A$40</c:f>
              <c:strCache>
                <c:ptCount val="36"/>
                <c:pt idx="0">
                  <c:v>Kerala</c:v>
                </c:pt>
                <c:pt idx="1">
                  <c:v>Lakshadweep</c:v>
                </c:pt>
                <c:pt idx="2">
                  <c:v>Mizoram</c:v>
                </c:pt>
                <c:pt idx="3">
                  <c:v>Tripura</c:v>
                </c:pt>
                <c:pt idx="4">
                  <c:v>Goa</c:v>
                </c:pt>
                <c:pt idx="5">
                  <c:v>Daman &amp; Diu</c:v>
                </c:pt>
                <c:pt idx="6">
                  <c:v>Puducherry</c:v>
                </c:pt>
                <c:pt idx="7">
                  <c:v>Chandigarh</c:v>
                </c:pt>
                <c:pt idx="8">
                  <c:v>NCT of Delhi</c:v>
                </c:pt>
                <c:pt idx="9">
                  <c:v>A &amp; N Islands</c:v>
                </c:pt>
                <c:pt idx="10">
                  <c:v>Himachal Pradesh</c:v>
                </c:pt>
                <c:pt idx="11">
                  <c:v>Maharashtra</c:v>
                </c:pt>
                <c:pt idx="12">
                  <c:v>Sikkim</c:v>
                </c:pt>
                <c:pt idx="13">
                  <c:v>Tamil Nadu</c:v>
                </c:pt>
                <c:pt idx="14">
                  <c:v>Nagaland</c:v>
                </c:pt>
                <c:pt idx="15">
                  <c:v>Manipur</c:v>
                </c:pt>
                <c:pt idx="16">
                  <c:v>Uttarakhand</c:v>
                </c:pt>
                <c:pt idx="17">
                  <c:v>Gujarat</c:v>
                </c:pt>
                <c:pt idx="18">
                  <c:v>D &amp; N Haveli</c:v>
                </c:pt>
                <c:pt idx="19">
                  <c:v>West Bengal</c:v>
                </c:pt>
                <c:pt idx="20">
                  <c:v>Punjab</c:v>
                </c:pt>
                <c:pt idx="21">
                  <c:v>Haryana</c:v>
                </c:pt>
                <c:pt idx="22">
                  <c:v>Karnataka</c:v>
                </c:pt>
                <c:pt idx="23">
                  <c:v>Meghalaya</c:v>
                </c:pt>
                <c:pt idx="24">
                  <c:v>INDIA</c:v>
                </c:pt>
                <c:pt idx="25">
                  <c:v>Odisha</c:v>
                </c:pt>
                <c:pt idx="26">
                  <c:v>Assam</c:v>
                </c:pt>
                <c:pt idx="27">
                  <c:v>Chhattisgarh</c:v>
                </c:pt>
                <c:pt idx="28">
                  <c:v>Madhya Pradesh</c:v>
                </c:pt>
                <c:pt idx="29">
                  <c:v>Uttar Pradesh</c:v>
                </c:pt>
                <c:pt idx="30">
                  <c:v>Jammu &amp; Kashmir</c:v>
                </c:pt>
                <c:pt idx="31">
                  <c:v>Andhra Pradesh</c:v>
                </c:pt>
                <c:pt idx="32">
                  <c:v>Jharkhand</c:v>
                </c:pt>
                <c:pt idx="33">
                  <c:v>Rajasthan</c:v>
                </c:pt>
                <c:pt idx="34">
                  <c:v>Arunachal Pradesh</c:v>
                </c:pt>
                <c:pt idx="35">
                  <c:v>Bihar</c:v>
                </c:pt>
              </c:strCache>
            </c:strRef>
          </c:cat>
          <c:val>
            <c:numRef>
              <c:f>'LITERACY RATE1'!$B$4:$B$40</c:f>
              <c:numCache>
                <c:formatCode>General</c:formatCode>
                <c:ptCount val="36"/>
                <c:pt idx="0">
                  <c:v>90.86</c:v>
                </c:pt>
                <c:pt idx="1">
                  <c:v>86.66</c:v>
                </c:pt>
                <c:pt idx="2">
                  <c:v>88.8</c:v>
                </c:pt>
                <c:pt idx="3">
                  <c:v>73.19</c:v>
                </c:pt>
                <c:pt idx="4">
                  <c:v>82.01</c:v>
                </c:pt>
                <c:pt idx="5">
                  <c:v>78.180000000000007</c:v>
                </c:pt>
                <c:pt idx="6">
                  <c:v>81.239999999999995</c:v>
                </c:pt>
                <c:pt idx="7">
                  <c:v>81.94</c:v>
                </c:pt>
                <c:pt idx="8">
                  <c:v>81.67</c:v>
                </c:pt>
                <c:pt idx="9">
                  <c:v>81.3</c:v>
                </c:pt>
                <c:pt idx="10">
                  <c:v>76.48</c:v>
                </c:pt>
                <c:pt idx="11">
                  <c:v>76.88</c:v>
                </c:pt>
                <c:pt idx="12">
                  <c:v>68.81</c:v>
                </c:pt>
                <c:pt idx="13">
                  <c:v>73.45</c:v>
                </c:pt>
                <c:pt idx="14">
                  <c:v>66.59</c:v>
                </c:pt>
                <c:pt idx="15">
                  <c:v>70.53</c:v>
                </c:pt>
                <c:pt idx="16">
                  <c:v>71.62</c:v>
                </c:pt>
                <c:pt idx="17">
                  <c:v>69.14</c:v>
                </c:pt>
                <c:pt idx="18">
                  <c:v>57.63</c:v>
                </c:pt>
                <c:pt idx="19">
                  <c:v>68.64</c:v>
                </c:pt>
                <c:pt idx="20">
                  <c:v>69.650000000000006</c:v>
                </c:pt>
                <c:pt idx="21">
                  <c:v>67.91</c:v>
                </c:pt>
                <c:pt idx="22">
                  <c:v>66.64</c:v>
                </c:pt>
                <c:pt idx="23">
                  <c:v>62.56</c:v>
                </c:pt>
                <c:pt idx="24">
                  <c:v>64.84</c:v>
                </c:pt>
                <c:pt idx="25">
                  <c:v>63.08</c:v>
                </c:pt>
                <c:pt idx="26">
                  <c:v>63.25</c:v>
                </c:pt>
                <c:pt idx="27">
                  <c:v>64.66</c:v>
                </c:pt>
                <c:pt idx="28">
                  <c:v>63.74</c:v>
                </c:pt>
                <c:pt idx="29">
                  <c:v>56.27</c:v>
                </c:pt>
                <c:pt idx="30">
                  <c:v>55.52</c:v>
                </c:pt>
                <c:pt idx="31">
                  <c:v>60.47</c:v>
                </c:pt>
                <c:pt idx="32">
                  <c:v>53.56</c:v>
                </c:pt>
                <c:pt idx="33">
                  <c:v>60.41</c:v>
                </c:pt>
                <c:pt idx="34">
                  <c:v>54.34</c:v>
                </c:pt>
                <c:pt idx="35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8A-4068-9CD3-68AAFE3AFDEB}"/>
            </c:ext>
          </c:extLst>
        </c:ser>
        <c:ser>
          <c:idx val="1"/>
          <c:order val="1"/>
          <c:tx>
            <c:strRef>
              <c:f>'LITERACY RATE1'!$C$3</c:f>
              <c:strCache>
                <c:ptCount val="1"/>
                <c:pt idx="0">
                  <c:v>Sum of Literacy Rate-2011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'LITERACY RATE1'!$A$4:$A$40</c:f>
              <c:strCache>
                <c:ptCount val="36"/>
                <c:pt idx="0">
                  <c:v>Kerala</c:v>
                </c:pt>
                <c:pt idx="1">
                  <c:v>Lakshadweep</c:v>
                </c:pt>
                <c:pt idx="2">
                  <c:v>Mizoram</c:v>
                </c:pt>
                <c:pt idx="3">
                  <c:v>Tripura</c:v>
                </c:pt>
                <c:pt idx="4">
                  <c:v>Goa</c:v>
                </c:pt>
                <c:pt idx="5">
                  <c:v>Daman &amp; Diu</c:v>
                </c:pt>
                <c:pt idx="6">
                  <c:v>Puducherry</c:v>
                </c:pt>
                <c:pt idx="7">
                  <c:v>Chandigarh</c:v>
                </c:pt>
                <c:pt idx="8">
                  <c:v>NCT of Delhi</c:v>
                </c:pt>
                <c:pt idx="9">
                  <c:v>A &amp; N Islands</c:v>
                </c:pt>
                <c:pt idx="10">
                  <c:v>Himachal Pradesh</c:v>
                </c:pt>
                <c:pt idx="11">
                  <c:v>Maharashtra</c:v>
                </c:pt>
                <c:pt idx="12">
                  <c:v>Sikkim</c:v>
                </c:pt>
                <c:pt idx="13">
                  <c:v>Tamil Nadu</c:v>
                </c:pt>
                <c:pt idx="14">
                  <c:v>Nagaland</c:v>
                </c:pt>
                <c:pt idx="15">
                  <c:v>Manipur</c:v>
                </c:pt>
                <c:pt idx="16">
                  <c:v>Uttarakhand</c:v>
                </c:pt>
                <c:pt idx="17">
                  <c:v>Gujarat</c:v>
                </c:pt>
                <c:pt idx="18">
                  <c:v>D &amp; N Haveli</c:v>
                </c:pt>
                <c:pt idx="19">
                  <c:v>West Bengal</c:v>
                </c:pt>
                <c:pt idx="20">
                  <c:v>Punjab</c:v>
                </c:pt>
                <c:pt idx="21">
                  <c:v>Haryana</c:v>
                </c:pt>
                <c:pt idx="22">
                  <c:v>Karnataka</c:v>
                </c:pt>
                <c:pt idx="23">
                  <c:v>Meghalaya</c:v>
                </c:pt>
                <c:pt idx="24">
                  <c:v>INDIA</c:v>
                </c:pt>
                <c:pt idx="25">
                  <c:v>Odisha</c:v>
                </c:pt>
                <c:pt idx="26">
                  <c:v>Assam</c:v>
                </c:pt>
                <c:pt idx="27">
                  <c:v>Chhattisgarh</c:v>
                </c:pt>
                <c:pt idx="28">
                  <c:v>Madhya Pradesh</c:v>
                </c:pt>
                <c:pt idx="29">
                  <c:v>Uttar Pradesh</c:v>
                </c:pt>
                <c:pt idx="30">
                  <c:v>Jammu &amp; Kashmir</c:v>
                </c:pt>
                <c:pt idx="31">
                  <c:v>Andhra Pradesh</c:v>
                </c:pt>
                <c:pt idx="32">
                  <c:v>Jharkhand</c:v>
                </c:pt>
                <c:pt idx="33">
                  <c:v>Rajasthan</c:v>
                </c:pt>
                <c:pt idx="34">
                  <c:v>Arunachal Pradesh</c:v>
                </c:pt>
                <c:pt idx="35">
                  <c:v>Bihar</c:v>
                </c:pt>
              </c:strCache>
            </c:strRef>
          </c:cat>
          <c:val>
            <c:numRef>
              <c:f>'LITERACY RATE1'!$C$4:$C$40</c:f>
              <c:numCache>
                <c:formatCode>General</c:formatCode>
                <c:ptCount val="36"/>
                <c:pt idx="0">
                  <c:v>93.91</c:v>
                </c:pt>
                <c:pt idx="1">
                  <c:v>92.28</c:v>
                </c:pt>
                <c:pt idx="2">
                  <c:v>91.58</c:v>
                </c:pt>
                <c:pt idx="3">
                  <c:v>87.75</c:v>
                </c:pt>
                <c:pt idx="4">
                  <c:v>87.4</c:v>
                </c:pt>
                <c:pt idx="5">
                  <c:v>87.07</c:v>
                </c:pt>
                <c:pt idx="6">
                  <c:v>86.55</c:v>
                </c:pt>
                <c:pt idx="7">
                  <c:v>86.43</c:v>
                </c:pt>
                <c:pt idx="8">
                  <c:v>86.34</c:v>
                </c:pt>
                <c:pt idx="9">
                  <c:v>86.27</c:v>
                </c:pt>
                <c:pt idx="10">
                  <c:v>83.78</c:v>
                </c:pt>
                <c:pt idx="11">
                  <c:v>82.91</c:v>
                </c:pt>
                <c:pt idx="12">
                  <c:v>82.2</c:v>
                </c:pt>
                <c:pt idx="13">
                  <c:v>80.33</c:v>
                </c:pt>
                <c:pt idx="14">
                  <c:v>80.11</c:v>
                </c:pt>
                <c:pt idx="15">
                  <c:v>79.849999999999994</c:v>
                </c:pt>
                <c:pt idx="16">
                  <c:v>79.63</c:v>
                </c:pt>
                <c:pt idx="17">
                  <c:v>79.31</c:v>
                </c:pt>
                <c:pt idx="18">
                  <c:v>77.650000000000006</c:v>
                </c:pt>
                <c:pt idx="19">
                  <c:v>77.08</c:v>
                </c:pt>
                <c:pt idx="20">
                  <c:v>76.680000000000007</c:v>
                </c:pt>
                <c:pt idx="21">
                  <c:v>76.64</c:v>
                </c:pt>
                <c:pt idx="22">
                  <c:v>75.599999999999994</c:v>
                </c:pt>
                <c:pt idx="23">
                  <c:v>75.48</c:v>
                </c:pt>
                <c:pt idx="24">
                  <c:v>74.040000000000006</c:v>
                </c:pt>
                <c:pt idx="25">
                  <c:v>73.45</c:v>
                </c:pt>
                <c:pt idx="26">
                  <c:v>73.180000000000007</c:v>
                </c:pt>
                <c:pt idx="27">
                  <c:v>71.040000000000006</c:v>
                </c:pt>
                <c:pt idx="28">
                  <c:v>70.63</c:v>
                </c:pt>
                <c:pt idx="29">
                  <c:v>69.72</c:v>
                </c:pt>
                <c:pt idx="30">
                  <c:v>68.739999999999995</c:v>
                </c:pt>
                <c:pt idx="31">
                  <c:v>67.66</c:v>
                </c:pt>
                <c:pt idx="32">
                  <c:v>67.63</c:v>
                </c:pt>
                <c:pt idx="33">
                  <c:v>67.06</c:v>
                </c:pt>
                <c:pt idx="34">
                  <c:v>66.95</c:v>
                </c:pt>
                <c:pt idx="35">
                  <c:v>63.82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A-4068-9CD3-68AAFE3AF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2484818"/>
        <c:axId val="801999713"/>
      </c:barChart>
      <c:catAx>
        <c:axId val="82248481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999713"/>
        <c:crosses val="autoZero"/>
        <c:auto val="1"/>
        <c:lblAlgn val="ctr"/>
        <c:lblOffset val="100"/>
        <c:noMultiLvlLbl val="0"/>
      </c:catAx>
      <c:valAx>
        <c:axId val="80199971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2248481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etp project vba POWERPIVOT (2) (2).xlsm]STATE WISE DIFFRENCE!PivotTable8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DIFFERENCE</a:t>
            </a:r>
            <a:r>
              <a:rPr lang="en-US" baseline="0"/>
              <a:t> IN SEX RATIO IN 10 YEAR(2001-2011)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'STATE WISE DIFFRENCE'!$B$3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'STATE WISE DIFFRENCE'!$A$4:$A$23</c:f>
              <c:strCache>
                <c:ptCount val="19"/>
                <c:pt idx="0">
                  <c:v>NCT of Delhi</c:v>
                </c:pt>
                <c:pt idx="1">
                  <c:v>Arunachal Pradesh</c:v>
                </c:pt>
                <c:pt idx="2">
                  <c:v>Mizoram</c:v>
                </c:pt>
                <c:pt idx="3">
                  <c:v>Chandigarh</c:v>
                </c:pt>
                <c:pt idx="4">
                  <c:v>Puducherry</c:v>
                </c:pt>
                <c:pt idx="5">
                  <c:v>Nagaland</c:v>
                </c:pt>
                <c:pt idx="6">
                  <c:v>A &amp; N Islands</c:v>
                </c:pt>
                <c:pt idx="7">
                  <c:v>Kerala</c:v>
                </c:pt>
                <c:pt idx="8">
                  <c:v>Assam</c:v>
                </c:pt>
                <c:pt idx="9">
                  <c:v>Punjab</c:v>
                </c:pt>
                <c:pt idx="10">
                  <c:v>Haryana</c:v>
                </c:pt>
                <c:pt idx="11">
                  <c:v>Meghalaya</c:v>
                </c:pt>
                <c:pt idx="12">
                  <c:v>West Bengal</c:v>
                </c:pt>
                <c:pt idx="13">
                  <c:v>Andhra Pradesh</c:v>
                </c:pt>
                <c:pt idx="14">
                  <c:v>Sikkim</c:v>
                </c:pt>
                <c:pt idx="15">
                  <c:v>Uttar Pradesh</c:v>
                </c:pt>
                <c:pt idx="16">
                  <c:v>Madhya Pradesh</c:v>
                </c:pt>
                <c:pt idx="17">
                  <c:v>Goa</c:v>
                </c:pt>
                <c:pt idx="18">
                  <c:v>Tripura</c:v>
                </c:pt>
              </c:strCache>
            </c:strRef>
          </c:cat>
          <c:val>
            <c:numRef>
              <c:f>'STATE WISE DIFFRENCE'!$B$4:$B$23</c:f>
              <c:numCache>
                <c:formatCode>General</c:formatCode>
                <c:ptCount val="19"/>
                <c:pt idx="0">
                  <c:v>47</c:v>
                </c:pt>
                <c:pt idx="1">
                  <c:v>45</c:v>
                </c:pt>
                <c:pt idx="2">
                  <c:v>41</c:v>
                </c:pt>
                <c:pt idx="3">
                  <c:v>41</c:v>
                </c:pt>
                <c:pt idx="4">
                  <c:v>36</c:v>
                </c:pt>
                <c:pt idx="5">
                  <c:v>31</c:v>
                </c:pt>
                <c:pt idx="6">
                  <c:v>30</c:v>
                </c:pt>
                <c:pt idx="7">
                  <c:v>26</c:v>
                </c:pt>
                <c:pt idx="8">
                  <c:v>23</c:v>
                </c:pt>
                <c:pt idx="9">
                  <c:v>19</c:v>
                </c:pt>
                <c:pt idx="10">
                  <c:v>18</c:v>
                </c:pt>
                <c:pt idx="11">
                  <c:v>17</c:v>
                </c:pt>
                <c:pt idx="12">
                  <c:v>16</c:v>
                </c:pt>
                <c:pt idx="13">
                  <c:v>15</c:v>
                </c:pt>
                <c:pt idx="14">
                  <c:v>15</c:v>
                </c:pt>
                <c:pt idx="15">
                  <c:v>14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2B-499A-8AB8-7AB62EB03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7480208"/>
        <c:axId val="1017481168"/>
      </c:barChart>
      <c:catAx>
        <c:axId val="101748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481168"/>
        <c:crosses val="autoZero"/>
        <c:auto val="1"/>
        <c:lblAlgn val="ctr"/>
        <c:lblOffset val="100"/>
        <c:noMultiLvlLbl val="0"/>
      </c:catAx>
      <c:valAx>
        <c:axId val="1017481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48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0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etp project vba POWERPIVOT (2) (2).xlsm]RANK OF FEMALE!PivotTable10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RANK</a:t>
            </a:r>
            <a:r>
              <a:rPr lang="en-US" baseline="0"/>
              <a:t> OF DIFFERENCE OF FEMALE 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'RANK OF FEMALE'!$B$3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'RANK OF FEMALE'!$A$4:$A$39</c:f>
              <c:strCache>
                <c:ptCount val="35"/>
                <c:pt idx="0">
                  <c:v>NCT of Delhi</c:v>
                </c:pt>
                <c:pt idx="1">
                  <c:v>Arunachal Pradesh</c:v>
                </c:pt>
                <c:pt idx="2">
                  <c:v>Chandigarh</c:v>
                </c:pt>
                <c:pt idx="3">
                  <c:v>Mizoram</c:v>
                </c:pt>
                <c:pt idx="4">
                  <c:v>Puducherry</c:v>
                </c:pt>
                <c:pt idx="5">
                  <c:v>Nagaland</c:v>
                </c:pt>
                <c:pt idx="6">
                  <c:v>A &amp; N Islands</c:v>
                </c:pt>
                <c:pt idx="7">
                  <c:v>Kerala</c:v>
                </c:pt>
                <c:pt idx="8">
                  <c:v>Assam</c:v>
                </c:pt>
                <c:pt idx="9">
                  <c:v>Punjab</c:v>
                </c:pt>
                <c:pt idx="10">
                  <c:v>Haryana</c:v>
                </c:pt>
                <c:pt idx="11">
                  <c:v>Meghalaya</c:v>
                </c:pt>
                <c:pt idx="12">
                  <c:v>West Bengal</c:v>
                </c:pt>
                <c:pt idx="13">
                  <c:v>Andhra Pradesh</c:v>
                </c:pt>
                <c:pt idx="14">
                  <c:v>Sikkim</c:v>
                </c:pt>
                <c:pt idx="15">
                  <c:v>Uttar Pradesh</c:v>
                </c:pt>
                <c:pt idx="16">
                  <c:v>Madhya Pradesh</c:v>
                </c:pt>
                <c:pt idx="17">
                  <c:v>Tripura</c:v>
                </c:pt>
                <c:pt idx="18">
                  <c:v>Goa</c:v>
                </c:pt>
                <c:pt idx="19">
                  <c:v>Tamil Nadu</c:v>
                </c:pt>
                <c:pt idx="20">
                  <c:v>Karnataka</c:v>
                </c:pt>
                <c:pt idx="21">
                  <c:v>Odisha</c:v>
                </c:pt>
                <c:pt idx="22">
                  <c:v>Rajasthan</c:v>
                </c:pt>
                <c:pt idx="23">
                  <c:v>Manipur</c:v>
                </c:pt>
                <c:pt idx="24">
                  <c:v>Maharashtra</c:v>
                </c:pt>
                <c:pt idx="25">
                  <c:v>Jharkhand</c:v>
                </c:pt>
                <c:pt idx="26">
                  <c:v>Himachal Pradesh</c:v>
                </c:pt>
                <c:pt idx="27">
                  <c:v>Chhattisgarh</c:v>
                </c:pt>
                <c:pt idx="28">
                  <c:v>Uttarakhand</c:v>
                </c:pt>
                <c:pt idx="29">
                  <c:v>Bihar</c:v>
                </c:pt>
                <c:pt idx="30">
                  <c:v>Gujarat</c:v>
                </c:pt>
                <c:pt idx="31">
                  <c:v>Lakshadweep</c:v>
                </c:pt>
                <c:pt idx="32">
                  <c:v>Jammu &amp; Kashmir</c:v>
                </c:pt>
                <c:pt idx="33">
                  <c:v>D &amp; N Haveli</c:v>
                </c:pt>
                <c:pt idx="34">
                  <c:v>Daman &amp; Diu</c:v>
                </c:pt>
              </c:strCache>
            </c:strRef>
          </c:cat>
          <c:val>
            <c:numRef>
              <c:f>'RANK OF FEMALE'!$B$4:$B$39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14</c:v>
                </c:pt>
                <c:pt idx="15">
                  <c:v>16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31.5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60-40CC-9737-63249C027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5333368"/>
        <c:axId val="1225332728"/>
      </c:barChart>
      <c:catAx>
        <c:axId val="1225333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5332728"/>
        <c:crosses val="autoZero"/>
        <c:auto val="1"/>
        <c:lblAlgn val="ctr"/>
        <c:lblOffset val="100"/>
        <c:noMultiLvlLbl val="0"/>
      </c:catAx>
      <c:valAx>
        <c:axId val="1225332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5333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7)DGR_VS_SR_PIVOT'!A1"/><Relationship Id="rId13" Type="http://schemas.openxmlformats.org/officeDocument/2006/relationships/hyperlink" Target="#'Child sex ratio'!A1"/><Relationship Id="rId18" Type="http://schemas.openxmlformats.org/officeDocument/2006/relationships/hyperlink" Target="#'LITERACY RATE1'!A1"/><Relationship Id="rId3" Type="http://schemas.openxmlformats.org/officeDocument/2006/relationships/hyperlink" Target="#'1)SEX RATIO COMPLETE'!A1"/><Relationship Id="rId7" Type="http://schemas.openxmlformats.org/officeDocument/2006/relationships/hyperlink" Target="#'6)LR_VS_SR_PIVOT'!A1"/><Relationship Id="rId12" Type="http://schemas.openxmlformats.org/officeDocument/2006/relationships/hyperlink" Target="#'BOTTOM 5 SEX RATIO OF 2011'!A1"/><Relationship Id="rId17" Type="http://schemas.openxmlformats.org/officeDocument/2006/relationships/hyperlink" Target="#'RANK OF FEMALE'!A1"/><Relationship Id="rId2" Type="http://schemas.openxmlformats.org/officeDocument/2006/relationships/hyperlink" Target="#DASHBOARD!A1"/><Relationship Id="rId16" Type="http://schemas.openxmlformats.org/officeDocument/2006/relationships/hyperlink" Target="#'STATE WISE DIFFRENCE'!A1"/><Relationship Id="rId1" Type="http://schemas.openxmlformats.org/officeDocument/2006/relationships/hyperlink" Target="#SEX__RATIO!A1"/><Relationship Id="rId6" Type="http://schemas.openxmlformats.org/officeDocument/2006/relationships/hyperlink" Target="#'5)CSR VS SR'!A1"/><Relationship Id="rId11" Type="http://schemas.openxmlformats.org/officeDocument/2006/relationships/hyperlink" Target="#'3)SUB CATEGORY WISE TOTAL'!A1"/><Relationship Id="rId5" Type="http://schemas.openxmlformats.org/officeDocument/2006/relationships/hyperlink" Target="#'4)ratio of U.T.'!A1"/><Relationship Id="rId15" Type="http://schemas.openxmlformats.org/officeDocument/2006/relationships/hyperlink" Target="#'CALCULATING CORR. COEFF.'!A1"/><Relationship Id="rId10" Type="http://schemas.openxmlformats.org/officeDocument/2006/relationships/hyperlink" Target="#'%CHANGE'!A1"/><Relationship Id="rId4" Type="http://schemas.openxmlformats.org/officeDocument/2006/relationships/hyperlink" Target="#'2)CHANGE IN SEX RATIO'!A1"/><Relationship Id="rId9" Type="http://schemas.openxmlformats.org/officeDocument/2006/relationships/hyperlink" Target="#'ZONES WISE'!A1"/><Relationship Id="rId14" Type="http://schemas.openxmlformats.org/officeDocument/2006/relationships/hyperlink" Target="#'LITERACY RATE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28575</xdr:rowOff>
    </xdr:from>
    <xdr:to>
      <xdr:col>14</xdr:col>
      <xdr:colOff>428624</xdr:colOff>
      <xdr:row>3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28575"/>
          <a:ext cx="11690350" cy="60007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4000" u="none">
              <a:solidFill>
                <a:schemeClr val="accent1">
                  <a:lumMod val="50000"/>
                </a:schemeClr>
              </a:solidFill>
              <a:latin typeface="AR CENA" panose="02000000000000000000" pitchFamily="2" charset="0"/>
            </a:rPr>
            <a:t>                                         </a:t>
          </a:r>
          <a:r>
            <a:rPr lang="en-IN" sz="4000" u="none">
              <a:solidFill>
                <a:schemeClr val="accent1">
                  <a:lumMod val="50000"/>
                </a:schemeClr>
              </a:solidFill>
              <a:latin typeface="Algerian" panose="04020705040A02060702" pitchFamily="82" charset="0"/>
            </a:rPr>
            <a:t>INDEX</a:t>
          </a:r>
        </a:p>
      </xdr:txBody>
    </xdr:sp>
    <xdr:clientData/>
  </xdr:twoCellAnchor>
  <xdr:twoCellAnchor>
    <xdr:from>
      <xdr:col>4</xdr:col>
      <xdr:colOff>381000</xdr:colOff>
      <xdr:row>13</xdr:row>
      <xdr:rowOff>19049</xdr:rowOff>
    </xdr:from>
    <xdr:to>
      <xdr:col>6</xdr:col>
      <xdr:colOff>76200</xdr:colOff>
      <xdr:row>18</xdr:row>
      <xdr:rowOff>163829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566160" y="2494915"/>
          <a:ext cx="1310640" cy="109728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>
              <a:solidFill>
                <a:schemeClr val="bg1"/>
              </a:solidFill>
              <a:latin typeface="AR CENA" panose="02000000000000000000" pitchFamily="2" charset="0"/>
            </a:rPr>
            <a:t>CHANGE IN SEX RATIO </a:t>
          </a:r>
        </a:p>
        <a:p>
          <a:r>
            <a:rPr lang="en-IN" sz="1200">
              <a:solidFill>
                <a:schemeClr val="bg1"/>
              </a:solidFill>
              <a:latin typeface="AR CENA" panose="02000000000000000000" pitchFamily="2" charset="0"/>
            </a:rPr>
            <a:t>PIVOT TABLE</a:t>
          </a:r>
        </a:p>
      </xdr:txBody>
    </xdr:sp>
    <xdr:clientData/>
  </xdr:twoCellAnchor>
  <xdr:twoCellAnchor>
    <xdr:from>
      <xdr:col>9</xdr:col>
      <xdr:colOff>219076</xdr:colOff>
      <xdr:row>13</xdr:row>
      <xdr:rowOff>76200</xdr:rowOff>
    </xdr:from>
    <xdr:to>
      <xdr:col>11</xdr:col>
      <xdr:colOff>280036</xdr:colOff>
      <xdr:row>24</xdr:row>
      <xdr:rowOff>129540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7442836" y="2552700"/>
          <a:ext cx="1676400" cy="214884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N" sz="1200">
              <a:solidFill>
                <a:schemeClr val="bg1"/>
              </a:solidFill>
              <a:latin typeface="AR CENA" panose="02000000000000000000" pitchFamily="2" charset="0"/>
            </a:rPr>
            <a:t>CORRELATION BETWEEN LITERACY RATE AND  SEX RATIO USING SPEARMAN'S CORRELATION COEFFICIENT PIVOT TABLE</a:t>
          </a:r>
        </a:p>
      </xdr:txBody>
    </xdr:sp>
    <xdr:clientData/>
  </xdr:twoCellAnchor>
  <xdr:twoCellAnchor>
    <xdr:from>
      <xdr:col>0</xdr:col>
      <xdr:colOff>760095</xdr:colOff>
      <xdr:row>6</xdr:row>
      <xdr:rowOff>133350</xdr:rowOff>
    </xdr:from>
    <xdr:to>
      <xdr:col>3</xdr:col>
      <xdr:colOff>342900</xdr:colOff>
      <xdr:row>9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760095" y="1276350"/>
          <a:ext cx="1960245" cy="59055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>
              <a:solidFill>
                <a:schemeClr val="bg1"/>
              </a:solidFill>
              <a:latin typeface="AR CENA" panose="02000000000000000000" pitchFamily="2" charset="0"/>
            </a:rPr>
            <a:t>INTRODUCTION</a:t>
          </a:r>
          <a:r>
            <a:rPr lang="en-IN" sz="1400" baseline="0">
              <a:solidFill>
                <a:schemeClr val="bg1"/>
              </a:solidFill>
              <a:latin typeface="AR CENA" panose="02000000000000000000" pitchFamily="2" charset="0"/>
            </a:rPr>
            <a:t> TO THE DATASET.</a:t>
          </a:r>
          <a:endParaRPr lang="en-IN" sz="1400">
            <a:solidFill>
              <a:schemeClr val="bg1"/>
            </a:solidFill>
            <a:latin typeface="AR CENA" panose="02000000000000000000" pitchFamily="2" charset="0"/>
          </a:endParaRPr>
        </a:p>
      </xdr:txBody>
    </xdr:sp>
    <xdr:clientData/>
  </xdr:twoCellAnchor>
  <xdr:twoCellAnchor>
    <xdr:from>
      <xdr:col>7</xdr:col>
      <xdr:colOff>9525</xdr:colOff>
      <xdr:row>13</xdr:row>
      <xdr:rowOff>38100</xdr:rowOff>
    </xdr:from>
    <xdr:to>
      <xdr:col>8</xdr:col>
      <xdr:colOff>542925</xdr:colOff>
      <xdr:row>18</xdr:row>
      <xdr:rowOff>182880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5617845" y="2514600"/>
          <a:ext cx="1341120" cy="109728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>
              <a:solidFill>
                <a:schemeClr val="bg1"/>
              </a:solidFill>
              <a:latin typeface="AR CENA" panose="02000000000000000000" pitchFamily="2" charset="0"/>
            </a:rPr>
            <a:t>STATES</a:t>
          </a:r>
          <a:r>
            <a:rPr lang="en-IN" sz="1200" baseline="0">
              <a:solidFill>
                <a:schemeClr val="bg1"/>
              </a:solidFill>
              <a:latin typeface="AR CENA" panose="02000000000000000000" pitchFamily="2" charset="0"/>
            </a:rPr>
            <a:t> ABOVE AVERAGE PIVOT TABLE</a:t>
          </a:r>
          <a:endParaRPr lang="en-IN" sz="1200">
            <a:solidFill>
              <a:schemeClr val="bg1"/>
            </a:solidFill>
            <a:latin typeface="AR CENA" panose="02000000000000000000" pitchFamily="2" charset="0"/>
          </a:endParaRPr>
        </a:p>
      </xdr:txBody>
    </xdr:sp>
    <xdr:clientData/>
  </xdr:twoCellAnchor>
  <xdr:twoCellAnchor>
    <xdr:from>
      <xdr:col>4</xdr:col>
      <xdr:colOff>390524</xdr:colOff>
      <xdr:row>6</xdr:row>
      <xdr:rowOff>129540</xdr:rowOff>
    </xdr:from>
    <xdr:to>
      <xdr:col>6</xdr:col>
      <xdr:colOff>746759</xdr:colOff>
      <xdr:row>13</xdr:row>
      <xdr:rowOff>30478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575684" y="1272540"/>
          <a:ext cx="1971675" cy="1234438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u="none">
              <a:solidFill>
                <a:schemeClr val="bg1"/>
              </a:solidFill>
              <a:latin typeface="AR CENA" panose="02000000000000000000" pitchFamily="2" charset="0"/>
            </a:rPr>
            <a:t>NUMBER OF FEMALES PER 1000 MEN ACCORDING TO RESIDENCE PIVOT TABLE</a:t>
          </a:r>
        </a:p>
      </xdr:txBody>
    </xdr:sp>
    <xdr:clientData/>
  </xdr:twoCellAnchor>
  <xdr:twoCellAnchor>
    <xdr:from>
      <xdr:col>1</xdr:col>
      <xdr:colOff>1904</xdr:colOff>
      <xdr:row>13</xdr:row>
      <xdr:rowOff>38098</xdr:rowOff>
    </xdr:from>
    <xdr:to>
      <xdr:col>2</xdr:col>
      <xdr:colOff>723899</xdr:colOff>
      <xdr:row>34</xdr:row>
      <xdr:rowOff>152399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763904" y="2514598"/>
          <a:ext cx="1529715" cy="4114801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>
              <a:solidFill>
                <a:schemeClr val="bg1"/>
              </a:solidFill>
              <a:latin typeface="AR CENA" panose="02000000000000000000" pitchFamily="2" charset="0"/>
            </a:rPr>
            <a:t>1.DATA SET ON SEX RATIO BASED ON RESIDENCE</a:t>
          </a:r>
          <a:r>
            <a:rPr lang="en-IN" sz="1400" baseline="0">
              <a:solidFill>
                <a:schemeClr val="bg1"/>
              </a:solidFill>
              <a:latin typeface="AR CENA" panose="02000000000000000000" pitchFamily="2" charset="0"/>
            </a:rPr>
            <a:t> 2001-11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IN" sz="1200">
              <a:solidFill>
                <a:schemeClr val="bg1"/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2.DATA</a:t>
          </a:r>
          <a:r>
            <a:rPr lang="en-IN" sz="1200" baseline="0">
              <a:solidFill>
                <a:schemeClr val="bg1"/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 SET ON LITERACY RATE OF INDIA 2001-11</a:t>
          </a:r>
          <a:endParaRPr lang="en-IN" sz="1200">
            <a:solidFill>
              <a:schemeClr val="bg1"/>
            </a:solidFill>
            <a:effectLst/>
            <a:latin typeface="AR CENA" panose="02000000000000000000" pitchFamily="2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IN" sz="1200">
              <a:solidFill>
                <a:schemeClr val="bg1"/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3.DATA</a:t>
          </a:r>
          <a:r>
            <a:rPr lang="en-IN" sz="1200" baseline="0">
              <a:solidFill>
                <a:schemeClr val="bg1"/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 SET ON LITERACY RATE OF INDIA 2001-11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IN" sz="1200">
              <a:solidFill>
                <a:schemeClr val="bg1"/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4.DATA</a:t>
          </a:r>
          <a:r>
            <a:rPr lang="en-IN" sz="1200" baseline="0">
              <a:solidFill>
                <a:schemeClr val="bg1"/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 SET ON LITERACY RATE OF INDIA 2001-11</a:t>
          </a:r>
          <a:endParaRPr lang="en-IN" sz="1200">
            <a:solidFill>
              <a:schemeClr val="bg1"/>
            </a:solidFill>
            <a:effectLst/>
            <a:latin typeface="AR CENA" panose="02000000000000000000" pitchFamily="2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en-IN" sz="1400">
            <a:effectLst/>
          </a:endParaRPr>
        </a:p>
        <a:p>
          <a:endParaRPr lang="en-IN" sz="1400">
            <a:solidFill>
              <a:srgbClr val="00B0F0"/>
            </a:solidFill>
            <a:latin typeface="AR CENA" panose="02000000000000000000" pitchFamily="2" charset="0"/>
          </a:endParaRPr>
        </a:p>
      </xdr:txBody>
    </xdr:sp>
    <xdr:clientData/>
  </xdr:twoCellAnchor>
  <xdr:twoCellAnchor>
    <xdr:from>
      <xdr:col>7</xdr:col>
      <xdr:colOff>0</xdr:colOff>
      <xdr:row>6</xdr:row>
      <xdr:rowOff>83820</xdr:rowOff>
    </xdr:from>
    <xdr:to>
      <xdr:col>9</xdr:col>
      <xdr:colOff>182880</xdr:colOff>
      <xdr:row>13</xdr:row>
      <xdr:rowOff>20954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608320" y="1226820"/>
          <a:ext cx="1798320" cy="1270634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>
              <a:solidFill>
                <a:schemeClr val="bg1"/>
              </a:solidFill>
              <a:latin typeface="AR CENA" panose="02000000000000000000" pitchFamily="2" charset="0"/>
            </a:rPr>
            <a:t>RATIO OF RURAL TO URBAN SEX RATIO IN UNION TERRITORIES</a:t>
          </a:r>
        </a:p>
        <a:p>
          <a:r>
            <a:rPr lang="en-IN" sz="1200">
              <a:solidFill>
                <a:schemeClr val="bg1"/>
              </a:solidFill>
              <a:latin typeface="AR CENA" panose="02000000000000000000" pitchFamily="2" charset="0"/>
            </a:rPr>
            <a:t>PIVOT TABLE</a:t>
          </a:r>
        </a:p>
      </xdr:txBody>
    </xdr:sp>
    <xdr:clientData/>
  </xdr:twoCellAnchor>
  <xdr:twoCellAnchor>
    <xdr:from>
      <xdr:col>1</xdr:col>
      <xdr:colOff>1904</xdr:colOff>
      <xdr:row>10</xdr:row>
      <xdr:rowOff>0</xdr:rowOff>
    </xdr:from>
    <xdr:to>
      <xdr:col>3</xdr:col>
      <xdr:colOff>396239</xdr:colOff>
      <xdr:row>12</xdr:row>
      <xdr:rowOff>180975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63904" y="1905000"/>
          <a:ext cx="2009775" cy="561975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aseline="0">
              <a:solidFill>
                <a:schemeClr val="bg1"/>
              </a:solidFill>
              <a:latin typeface="AR CENA" panose="02000000000000000000" pitchFamily="2" charset="0"/>
            </a:rPr>
            <a:t>DASHBOARD</a:t>
          </a:r>
        </a:p>
      </xdr:txBody>
    </xdr:sp>
    <xdr:clientData/>
  </xdr:twoCellAnchor>
  <xdr:twoCellAnchor>
    <xdr:from>
      <xdr:col>4</xdr:col>
      <xdr:colOff>381000</xdr:colOff>
      <xdr:row>18</xdr:row>
      <xdr:rowOff>180974</xdr:rowOff>
    </xdr:from>
    <xdr:to>
      <xdr:col>6</xdr:col>
      <xdr:colOff>76200</xdr:colOff>
      <xdr:row>28</xdr:row>
      <xdr:rowOff>152399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566160" y="3609974"/>
          <a:ext cx="1310640" cy="1876425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>
              <a:solidFill>
                <a:schemeClr val="bg1"/>
              </a:solidFill>
              <a:latin typeface="AR CENA" panose="02000000000000000000" pitchFamily="2" charset="0"/>
            </a:rPr>
            <a:t>CHILD SEX RATIO VS POPULATION SEX RATIO IN MAJOR STATES</a:t>
          </a:r>
          <a:r>
            <a:rPr lang="en-IN" sz="1200" baseline="0">
              <a:solidFill>
                <a:schemeClr val="bg1"/>
              </a:solidFill>
              <a:latin typeface="AR CENA" panose="02000000000000000000" pitchFamily="2" charset="0"/>
            </a:rPr>
            <a:t> OF INDIA</a:t>
          </a:r>
          <a:endParaRPr lang="en-IN" sz="1200">
            <a:solidFill>
              <a:schemeClr val="bg1"/>
            </a:solidFill>
            <a:latin typeface="AR CENA" panose="02000000000000000000" pitchFamily="2" charset="0"/>
          </a:endParaRPr>
        </a:p>
      </xdr:txBody>
    </xdr:sp>
    <xdr:clientData/>
  </xdr:twoCellAnchor>
  <xdr:twoCellAnchor>
    <xdr:from>
      <xdr:col>5</xdr:col>
      <xdr:colOff>800100</xdr:colOff>
      <xdr:row>4</xdr:row>
      <xdr:rowOff>47625</xdr:rowOff>
    </xdr:from>
    <xdr:to>
      <xdr:col>10</xdr:col>
      <xdr:colOff>403860</xdr:colOff>
      <xdr:row>6</xdr:row>
      <xdr:rowOff>104775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4792980" y="809625"/>
          <a:ext cx="3642360" cy="438150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N" sz="2400"/>
            <a:t>  </a:t>
          </a:r>
          <a:r>
            <a:rPr lang="en-IN" sz="2400" u="sng">
              <a:solidFill>
                <a:schemeClr val="accent6">
                  <a:lumMod val="75000"/>
                </a:schemeClr>
              </a:solidFill>
              <a:latin typeface="AR CENA" panose="02000000000000000000" pitchFamily="2" charset="0"/>
            </a:rPr>
            <a:t>THE CONCLUSIONS</a:t>
          </a:r>
          <a:r>
            <a:rPr lang="en-IN" sz="2800" u="sng">
              <a:solidFill>
                <a:schemeClr val="accent6">
                  <a:lumMod val="75000"/>
                </a:schemeClr>
              </a:solidFill>
              <a:latin typeface="AR CENA" panose="02000000000000000000" pitchFamily="2" charset="0"/>
            </a:rPr>
            <a:t>:</a:t>
          </a:r>
        </a:p>
      </xdr:txBody>
    </xdr:sp>
    <xdr:clientData/>
  </xdr:twoCellAnchor>
  <xdr:twoCellAnchor>
    <xdr:from>
      <xdr:col>9</xdr:col>
      <xdr:colOff>209550</xdr:colOff>
      <xdr:row>7</xdr:row>
      <xdr:rowOff>76199</xdr:rowOff>
    </xdr:from>
    <xdr:to>
      <xdr:col>12</xdr:col>
      <xdr:colOff>800100</xdr:colOff>
      <xdr:row>13</xdr:row>
      <xdr:rowOff>30479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7433310" y="1409699"/>
          <a:ext cx="3013710" cy="109728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IN" sz="1200">
              <a:solidFill>
                <a:schemeClr val="bg1"/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CORRELATION BETWEEN DECADAL</a:t>
          </a:r>
          <a:r>
            <a:rPr lang="en-IN" sz="1200" baseline="0">
              <a:solidFill>
                <a:schemeClr val="bg1"/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 GROWTH </a:t>
          </a:r>
          <a:r>
            <a:rPr lang="en-IN" sz="1200">
              <a:solidFill>
                <a:schemeClr val="bg1"/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RATE AND  SEX RATIO USING SPEARMAN'S CORRELATION COEFFICIENT PIVOT TABLE</a:t>
          </a:r>
          <a:endParaRPr lang="en-IN" sz="1200">
            <a:solidFill>
              <a:schemeClr val="bg1"/>
            </a:solidFill>
            <a:effectLst/>
            <a:latin typeface="AR CENA" panose="02000000000000000000" pitchFamily="2" charset="0"/>
          </a:endParaRPr>
        </a:p>
        <a:p>
          <a:endParaRPr lang="en-IN" sz="1200">
            <a:solidFill>
              <a:schemeClr val="bg1"/>
            </a:solidFill>
            <a:latin typeface="AR CENA" panose="02000000000000000000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342901</xdr:colOff>
      <xdr:row>1</xdr:row>
      <xdr:rowOff>76200</xdr:rowOff>
    </xdr:from>
    <xdr:to>
      <xdr:col>12</xdr:col>
      <xdr:colOff>533400</xdr:colOff>
      <xdr:row>7</xdr:row>
      <xdr:rowOff>142876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73780" y="266700"/>
          <a:ext cx="6652260" cy="12096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400" u="none">
              <a:latin typeface="AR CENA" panose="02000000000000000000" pitchFamily="2" charset="0"/>
            </a:rPr>
            <a:t>       </a:t>
          </a:r>
          <a:r>
            <a:rPr lang="en-IN" sz="2400" u="dbl">
              <a:latin typeface="AR CENA" panose="02000000000000000000" pitchFamily="2" charset="0"/>
            </a:rPr>
            <a:t>INTRODUCTION</a:t>
          </a:r>
          <a:r>
            <a:rPr lang="en-IN" sz="2400" u="dbl" baseline="0">
              <a:latin typeface="AR CENA" panose="02000000000000000000" pitchFamily="2" charset="0"/>
            </a:rPr>
            <a:t> TO THE PROJECT:</a:t>
          </a:r>
        </a:p>
        <a:p>
          <a:r>
            <a:rPr lang="en-IN" sz="2400" u="none">
              <a:latin typeface="AR CENA" panose="02000000000000000000" pitchFamily="2" charset="0"/>
            </a:rPr>
            <a:t>                 </a:t>
          </a:r>
          <a:r>
            <a:rPr lang="en-IN" sz="2400" u="sng">
              <a:solidFill>
                <a:schemeClr val="accent6">
                  <a:lumMod val="75000"/>
                </a:schemeClr>
              </a:solidFill>
              <a:latin typeface="AR CENA" panose="02000000000000000000" pitchFamily="2" charset="0"/>
            </a:rPr>
            <a:t>SEX RATIO</a:t>
          </a:r>
          <a:r>
            <a:rPr lang="en-IN" sz="2400" u="sng" baseline="0">
              <a:solidFill>
                <a:schemeClr val="accent6">
                  <a:lumMod val="75000"/>
                </a:schemeClr>
              </a:solidFill>
              <a:latin typeface="AR CENA" panose="02000000000000000000" pitchFamily="2" charset="0"/>
            </a:rPr>
            <a:t> OF INDIA</a:t>
          </a:r>
        </a:p>
        <a:p>
          <a:r>
            <a:rPr lang="en-IN" sz="2400" u="none" baseline="0">
              <a:solidFill>
                <a:schemeClr val="accent6">
                  <a:lumMod val="75000"/>
                </a:schemeClr>
              </a:solidFill>
              <a:latin typeface="AR CENA" panose="02000000000000000000" pitchFamily="2" charset="0"/>
            </a:rPr>
            <a:t>                      </a:t>
          </a:r>
          <a:r>
            <a:rPr lang="en-IN" sz="2400" u="sng" baseline="0">
              <a:solidFill>
                <a:schemeClr val="accent6">
                  <a:lumMod val="75000"/>
                </a:schemeClr>
              </a:solidFill>
              <a:latin typeface="AR CENA" panose="02000000000000000000" pitchFamily="2" charset="0"/>
            </a:rPr>
            <a:t>2001 and 2011</a:t>
          </a:r>
          <a:endParaRPr lang="en-IN" sz="2400" u="sng">
            <a:solidFill>
              <a:schemeClr val="accent6">
                <a:lumMod val="75000"/>
              </a:schemeClr>
            </a:solidFill>
            <a:latin typeface="AR CENA" panose="02000000000000000000" pitchFamily="2" charset="0"/>
          </a:endParaRPr>
        </a:p>
      </xdr:txBody>
    </xdr:sp>
    <xdr:clientData/>
  </xdr:twoCellAnchor>
  <xdr:twoCellAnchor>
    <xdr:from>
      <xdr:col>0</xdr:col>
      <xdr:colOff>495300</xdr:colOff>
      <xdr:row>8</xdr:row>
      <xdr:rowOff>28575</xdr:rowOff>
    </xdr:from>
    <xdr:to>
      <xdr:col>13</xdr:col>
      <xdr:colOff>581025</xdr:colOff>
      <xdr:row>29</xdr:row>
      <xdr:rowOff>57151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95300" y="1552575"/>
          <a:ext cx="10586085" cy="4029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>
              <a:solidFill>
                <a:schemeClr val="accent6">
                  <a:lumMod val="50000"/>
                </a:schemeClr>
              </a:solidFill>
              <a:latin typeface="AR CENA" panose="02000000000000000000" pitchFamily="2" charset="0"/>
            </a:rPr>
            <a:t>1.) The data has been taken</a:t>
          </a:r>
          <a:r>
            <a:rPr lang="en-IN" sz="1600" baseline="0">
              <a:solidFill>
                <a:schemeClr val="accent6">
                  <a:lumMod val="50000"/>
                </a:schemeClr>
              </a:solidFill>
              <a:latin typeface="AR CENA" panose="02000000000000000000" pitchFamily="2" charset="0"/>
            </a:rPr>
            <a:t> from Data.gov.in.</a:t>
          </a:r>
          <a:r>
            <a:rPr lang="en-IN" sz="1600" baseline="0">
              <a:latin typeface="AR CENA" panose="02000000000000000000" pitchFamily="2" charset="0"/>
            </a:rPr>
            <a:t> </a:t>
          </a:r>
        </a:p>
        <a:p>
          <a:r>
            <a:rPr lang="en-IN" sz="1100" baseline="0"/>
            <a:t>                          </a:t>
          </a:r>
        </a:p>
        <a:p>
          <a:r>
            <a:rPr lang="en-IN" sz="1600" baseline="0">
              <a:latin typeface="AR CENA" panose="02000000000000000000" pitchFamily="2" charset="0"/>
            </a:rPr>
            <a:t>                                              </a:t>
          </a:r>
          <a:r>
            <a:rPr lang="en-IN" sz="2000" u="sng" baseline="0">
              <a:solidFill>
                <a:srgbClr val="FF0000"/>
              </a:solidFill>
              <a:latin typeface="AR CENA" panose="02000000000000000000" pitchFamily="2" charset="0"/>
            </a:rPr>
            <a:t>What is Data.gov.in?</a:t>
          </a:r>
        </a:p>
        <a:p>
          <a:r>
            <a:rPr lang="en-IN" sz="1600" baseline="0">
              <a:latin typeface="AR CENA" panose="02000000000000000000" pitchFamily="2" charset="0"/>
            </a:rPr>
            <a:t> </a:t>
          </a:r>
          <a:r>
            <a:rPr lang="en-IN" sz="1600" b="1" i="0">
              <a:solidFill>
                <a:schemeClr val="accent1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Open Government Data (OGD) Platform India</a:t>
          </a:r>
          <a:r>
            <a:rPr lang="en-IN" sz="1600" b="0" i="0" u="none" strike="noStrike" baseline="30000">
              <a:solidFill>
                <a:schemeClr val="accent1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 </a:t>
          </a:r>
          <a:r>
            <a:rPr lang="en-IN" sz="1600" b="0" i="0">
              <a:solidFill>
                <a:schemeClr val="accent1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or </a:t>
          </a:r>
          <a:r>
            <a:rPr lang="en-IN" sz="1600" b="1" i="0">
              <a:solidFill>
                <a:schemeClr val="accent1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data.gov.in</a:t>
          </a:r>
          <a:r>
            <a:rPr lang="en-IN" sz="1600" b="0" i="0">
              <a:solidFill>
                <a:schemeClr val="accent1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 is a platform for supporting Open</a:t>
          </a:r>
          <a:r>
            <a:rPr lang="en-IN" sz="1600" b="0" i="0" baseline="0">
              <a:solidFill>
                <a:schemeClr val="accent1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 Data</a:t>
          </a:r>
          <a:r>
            <a:rPr lang="en-IN" sz="1600" b="0" i="0">
              <a:solidFill>
                <a:schemeClr val="accent1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 initiative of </a:t>
          </a:r>
          <a:r>
            <a:rPr lang="en-IN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Government</a:t>
          </a:r>
          <a:r>
            <a:rPr lang="en-IN" sz="1600" b="0" i="0" u="none" strike="noStrike" baseline="0">
              <a:solidFill>
                <a:schemeClr val="accent1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 of India.</a:t>
          </a:r>
          <a:r>
            <a:rPr lang="en-IN" sz="1600" b="0" i="0" u="none">
              <a:solidFill>
                <a:schemeClr val="accent1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 </a:t>
          </a:r>
          <a:r>
            <a:rPr lang="en-IN" sz="1600" b="0" i="0">
              <a:solidFill>
                <a:schemeClr val="accent1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This portal is a single-point access to datasets, documents, services, tools and applications published by ministries, departments and organisations of the </a:t>
          </a:r>
          <a:r>
            <a:rPr lang="en-IN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Government</a:t>
          </a:r>
          <a:r>
            <a:rPr lang="en-IN" sz="1600" b="0" i="0" u="none" strike="noStrike" baseline="0">
              <a:solidFill>
                <a:schemeClr val="accent1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 of India</a:t>
          </a:r>
          <a:r>
            <a:rPr lang="en-IN" sz="1600" b="0" i="0">
              <a:solidFill>
                <a:schemeClr val="accent1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. It combines and expands the best features of India government's </a:t>
          </a:r>
          <a:r>
            <a:rPr lang="en-IN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India.gov.in</a:t>
          </a:r>
          <a:r>
            <a:rPr lang="en-IN" sz="1600" b="0" i="0" u="none" strike="noStrike" baseline="0">
              <a:solidFill>
                <a:schemeClr val="accent1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 </a:t>
          </a:r>
          <a:r>
            <a:rPr lang="en-IN" sz="1600" b="0" i="0">
              <a:solidFill>
                <a:schemeClr val="accent1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and the U.S.</a:t>
          </a:r>
          <a:r>
            <a:rPr lang="en-IN" sz="1600" b="0" i="0" baseline="0">
              <a:solidFill>
                <a:schemeClr val="accent1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 Government's data.gov </a:t>
          </a:r>
          <a:r>
            <a:rPr lang="en-IN" sz="1600" b="0" i="0">
              <a:solidFill>
                <a:schemeClr val="accent1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project.</a:t>
          </a:r>
          <a:endParaRPr lang="en-IN" sz="1600" baseline="0">
            <a:solidFill>
              <a:schemeClr val="accent1">
                <a:lumMod val="50000"/>
              </a:schemeClr>
            </a:solidFill>
            <a:latin typeface="AR CENA" panose="02000000000000000000" pitchFamily="2" charset="0"/>
          </a:endParaRPr>
        </a:p>
        <a:p>
          <a:endParaRPr lang="en-IN" sz="1600" baseline="0">
            <a:solidFill>
              <a:schemeClr val="accent1">
                <a:lumMod val="50000"/>
              </a:schemeClr>
            </a:solidFill>
            <a:latin typeface="AR CENA" panose="02000000000000000000" pitchFamily="2" charset="0"/>
          </a:endParaRPr>
        </a:p>
        <a:p>
          <a:r>
            <a:rPr lang="en-IN" sz="1600" baseline="0">
              <a:solidFill>
                <a:schemeClr val="accent6">
                  <a:lumMod val="50000"/>
                </a:schemeClr>
              </a:solidFill>
              <a:latin typeface="AR CENA" panose="02000000000000000000" pitchFamily="2" charset="0"/>
            </a:rPr>
            <a:t>2.)The required datasets are Literacy Rate of India (2001-11), Child sex ratio(2001-11) and Population sex ratio based on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IN" sz="1600" baseline="0">
              <a:solidFill>
                <a:schemeClr val="accent6">
                  <a:lumMod val="50000"/>
                </a:schemeClr>
              </a:solidFill>
              <a:latin typeface="AR CENA" panose="02000000000000000000" pitchFamily="2" charset="0"/>
            </a:rPr>
            <a:t>     </a:t>
          </a:r>
          <a:r>
            <a:rPr lang="en-IN" sz="1600" baseline="0">
              <a:solidFill>
                <a:schemeClr val="accent6">
                  <a:lumMod val="50000"/>
                </a:schemeClr>
              </a:solidFill>
              <a:effectLst/>
              <a:latin typeface="AR CENA" panose="02000000000000000000" pitchFamily="2" charset="0"/>
              <a:ea typeface="+mn-ea"/>
              <a:cs typeface="+mn-cs"/>
            </a:rPr>
            <a:t>residence(2001-11).</a:t>
          </a:r>
          <a:endParaRPr lang="en-IN" sz="1600">
            <a:solidFill>
              <a:schemeClr val="accent6">
                <a:lumMod val="50000"/>
              </a:schemeClr>
            </a:solidFill>
            <a:effectLst/>
            <a:latin typeface="AR CENA" panose="02000000000000000000" pitchFamily="2" charset="0"/>
          </a:endParaRPr>
        </a:p>
        <a:p>
          <a:r>
            <a:rPr lang="en-IN" sz="1600">
              <a:solidFill>
                <a:schemeClr val="accent6">
                  <a:lumMod val="50000"/>
                </a:schemeClr>
              </a:solidFill>
              <a:latin typeface="AR CENA" panose="02000000000000000000" pitchFamily="2" charset="0"/>
            </a:rPr>
            <a:t>3.)We</a:t>
          </a:r>
          <a:r>
            <a:rPr lang="en-IN" sz="1600" baseline="0">
              <a:solidFill>
                <a:schemeClr val="accent6">
                  <a:lumMod val="50000"/>
                </a:schemeClr>
              </a:solidFill>
              <a:latin typeface="AR CENA" panose="02000000000000000000" pitchFamily="2" charset="0"/>
            </a:rPr>
            <a:t> will try to identify the trends in the number of females per 1000 males in India in the year 2001 and 2011</a:t>
          </a:r>
        </a:p>
        <a:p>
          <a:r>
            <a:rPr lang="en-IN" sz="1600" baseline="0">
              <a:solidFill>
                <a:schemeClr val="accent6">
                  <a:lumMod val="50000"/>
                </a:schemeClr>
              </a:solidFill>
              <a:latin typeface="AR CENA" panose="02000000000000000000" pitchFamily="2" charset="0"/>
            </a:rPr>
            <a:t>     and take note of the variations over the decade.</a:t>
          </a:r>
        </a:p>
        <a:p>
          <a:r>
            <a:rPr lang="en-IN" sz="1600" baseline="0">
              <a:solidFill>
                <a:schemeClr val="accent6">
                  <a:lumMod val="50000"/>
                </a:schemeClr>
              </a:solidFill>
              <a:latin typeface="AR CENA" panose="02000000000000000000" pitchFamily="2" charset="0"/>
            </a:rPr>
            <a:t>4.)We will try to identify the difference between Child Sex Ratio and Population Sex Ratio and identify the variations to see if the </a:t>
          </a:r>
        </a:p>
        <a:p>
          <a:r>
            <a:rPr lang="en-IN" sz="1600" baseline="0">
              <a:solidFill>
                <a:schemeClr val="accent6">
                  <a:lumMod val="50000"/>
                </a:schemeClr>
              </a:solidFill>
              <a:latin typeface="AR CENA" panose="02000000000000000000" pitchFamily="2" charset="0"/>
            </a:rPr>
            <a:t>    number of females per 1000 actually decrease/increase as their age increases.</a:t>
          </a:r>
        </a:p>
        <a:p>
          <a:r>
            <a:rPr lang="en-IN" sz="1600" baseline="0">
              <a:solidFill>
                <a:schemeClr val="accent6">
                  <a:lumMod val="50000"/>
                </a:schemeClr>
              </a:solidFill>
              <a:latin typeface="AR CENA" panose="02000000000000000000" pitchFamily="2" charset="0"/>
            </a:rPr>
            <a:t>5.) We will identify the relative patterns in the Sex Ratio in the Union Territories of India.</a:t>
          </a:r>
        </a:p>
        <a:p>
          <a:r>
            <a:rPr lang="en-IN" sz="1600" baseline="0">
              <a:solidFill>
                <a:schemeClr val="accent6">
                  <a:lumMod val="50000"/>
                </a:schemeClr>
              </a:solidFill>
              <a:latin typeface="AR CENA" panose="02000000000000000000" pitchFamily="2" charset="0"/>
            </a:rPr>
            <a:t>6.)We will also find a correlation, if it exists between the Literacy Rate and Sex Ratio of India.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154781</xdr:colOff>
      <xdr:row>20</xdr:row>
      <xdr:rowOff>188165</xdr:rowOff>
    </xdr:from>
    <xdr:to>
      <xdr:col>12</xdr:col>
      <xdr:colOff>324871</xdr:colOff>
      <xdr:row>39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238124</xdr:colOff>
      <xdr:row>42</xdr:row>
      <xdr:rowOff>23311</xdr:rowOff>
    </xdr:from>
    <xdr:to>
      <xdr:col>13</xdr:col>
      <xdr:colOff>1265903</xdr:colOff>
      <xdr:row>61</xdr:row>
      <xdr:rowOff>23310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174288</xdr:colOff>
      <xdr:row>63</xdr:row>
      <xdr:rowOff>145516</xdr:rowOff>
    </xdr:from>
    <xdr:to>
      <xdr:col>13</xdr:col>
      <xdr:colOff>798871</xdr:colOff>
      <xdr:row>83</xdr:row>
      <xdr:rowOff>37577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166687</xdr:colOff>
      <xdr:row>85</xdr:row>
      <xdr:rowOff>105320</xdr:rowOff>
    </xdr:from>
    <xdr:to>
      <xdr:col>12</xdr:col>
      <xdr:colOff>418498</xdr:colOff>
      <xdr:row>108</xdr:row>
      <xdr:rowOff>33628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4</xdr:row>
      <xdr:rowOff>0</xdr:rowOff>
    </xdr:from>
    <xdr:to>
      <xdr:col>2</xdr:col>
      <xdr:colOff>342900</xdr:colOff>
      <xdr:row>18</xdr:row>
      <xdr:rowOff>31749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ZONES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ES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666875"/>
              <a:ext cx="1958340" cy="44316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2</xdr:col>
      <xdr:colOff>333374</xdr:colOff>
      <xdr:row>3</xdr:row>
      <xdr:rowOff>127619</xdr:rowOff>
    </xdr:from>
    <xdr:to>
      <xdr:col>12</xdr:col>
      <xdr:colOff>360851</xdr:colOff>
      <xdr:row>18</xdr:row>
      <xdr:rowOff>15875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1327354</xdr:colOff>
      <xdr:row>150</xdr:row>
      <xdr:rowOff>143015</xdr:rowOff>
    </xdr:from>
    <xdr:to>
      <xdr:col>16</xdr:col>
      <xdr:colOff>196644</xdr:colOff>
      <xdr:row>162</xdr:row>
      <xdr:rowOff>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1061289" y="34027434"/>
          <a:ext cx="6907161" cy="2413372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 u="sng">
              <a:solidFill>
                <a:schemeClr val="bg1"/>
              </a:solidFill>
              <a:latin typeface="AR CENA" panose="02000000000000000000" pitchFamily="2" charset="0"/>
            </a:rPr>
            <a:t>CONCLUSION:</a:t>
          </a:r>
        </a:p>
        <a:p>
          <a:r>
            <a:rPr lang="en-IN" sz="1800">
              <a:solidFill>
                <a:schemeClr val="bg1"/>
              </a:solidFill>
              <a:latin typeface="AR CENA" panose="02000000000000000000" pitchFamily="2" charset="0"/>
            </a:rPr>
            <a:t>MOST OF THE STATES HAVE THE SPEARMAN'S COEFFICIENT VALUE LESSER</a:t>
          </a:r>
          <a:r>
            <a:rPr lang="en-IN" sz="1800" baseline="0">
              <a:solidFill>
                <a:schemeClr val="bg1"/>
              </a:solidFill>
              <a:latin typeface="AR CENA" panose="02000000000000000000" pitchFamily="2" charset="0"/>
            </a:rPr>
            <a:t> THAN 0 WHICH INDICATES THAT THE INCREASE IN LITERACY RATE HAS A VERY WEAK CORRELATION WITH THE INCREASE IN THE NUMBER OF FEMALES PER 1000 MALES</a:t>
          </a:r>
          <a:r>
            <a:rPr lang="en-IN" sz="1100" baseline="0"/>
            <a:t>.</a:t>
          </a:r>
          <a:endParaRPr lang="en-IN" sz="1100"/>
        </a:p>
      </xdr:txBody>
    </xdr:sp>
    <xdr:clientData/>
  </xdr:twoCellAnchor>
  <xdr:twoCellAnchor>
    <xdr:from>
      <xdr:col>2</xdr:col>
      <xdr:colOff>277812</xdr:colOff>
      <xdr:row>110</xdr:row>
      <xdr:rowOff>95250</xdr:rowOff>
    </xdr:from>
    <xdr:to>
      <xdr:col>12</xdr:col>
      <xdr:colOff>515937</xdr:colOff>
      <xdr:row>133</xdr:row>
      <xdr:rowOff>20307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285749</xdr:colOff>
      <xdr:row>136</xdr:row>
      <xdr:rowOff>121226</xdr:rowOff>
    </xdr:from>
    <xdr:to>
      <xdr:col>12</xdr:col>
      <xdr:colOff>495298</xdr:colOff>
      <xdr:row>158</xdr:row>
      <xdr:rowOff>125555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23812</xdr:colOff>
      <xdr:row>110</xdr:row>
      <xdr:rowOff>95249</xdr:rowOff>
    </xdr:from>
    <xdr:to>
      <xdr:col>2</xdr:col>
      <xdr:colOff>238124</xdr:colOff>
      <xdr:row>133</xdr:row>
      <xdr:rowOff>13606</xdr:rowOff>
    </xdr:to>
    <xdr:sp macro="" textlink="">
      <xdr:nvSpPr>
        <xdr:cNvPr id="3" name="Sub-categor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3495" y="23688040"/>
          <a:ext cx="1829435" cy="5557520"/>
        </a:xfrm>
      </xdr:spPr>
    </xdr:sp>
    <xdr:clientData/>
  </xdr:twoCellAnchor>
  <xdr:twoCellAnchor editAs="oneCell">
    <xdr:from>
      <xdr:col>0</xdr:col>
      <xdr:colOff>0</xdr:colOff>
      <xdr:row>136</xdr:row>
      <xdr:rowOff>121227</xdr:rowOff>
    </xdr:from>
    <xdr:to>
      <xdr:col>2</xdr:col>
      <xdr:colOff>238125</xdr:colOff>
      <xdr:row>160</xdr:row>
      <xdr:rowOff>121227</xdr:rowOff>
    </xdr:to>
    <xdr:sp macro="" textlink="">
      <xdr:nvSpPr>
        <xdr:cNvPr id="5" name="Sub-category 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0" y="29924375"/>
          <a:ext cx="1853565" cy="5511165"/>
        </a:xfrm>
      </xdr:spPr>
    </xdr:sp>
    <xdr:clientData/>
  </xdr:twoCellAnchor>
  <xdr:twoCellAnchor editAs="oneCell">
    <xdr:from>
      <xdr:col>0</xdr:col>
      <xdr:colOff>19817</xdr:colOff>
      <xdr:row>85</xdr:row>
      <xdr:rowOff>127547</xdr:rowOff>
    </xdr:from>
    <xdr:to>
      <xdr:col>2</xdr:col>
      <xdr:colOff>142875</xdr:colOff>
      <xdr:row>108</xdr:row>
      <xdr:rowOff>29012</xdr:rowOff>
    </xdr:to>
    <xdr:sp macro="" textlink="">
      <xdr:nvSpPr>
        <xdr:cNvPr id="9" name="Sub-category 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685" y="18957925"/>
          <a:ext cx="1738630" cy="4283075"/>
        </a:xfrm>
      </xdr:spPr>
    </xdr:sp>
    <xdr:clientData/>
  </xdr:twoCellAnchor>
  <xdr:twoCellAnchor editAs="oneCell">
    <xdr:from>
      <xdr:col>0</xdr:col>
      <xdr:colOff>0</xdr:colOff>
      <xdr:row>42</xdr:row>
      <xdr:rowOff>43656</xdr:rowOff>
    </xdr:from>
    <xdr:to>
      <xdr:col>2</xdr:col>
      <xdr:colOff>178593</xdr:colOff>
      <xdr:row>61</xdr:row>
      <xdr:rowOff>43656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ZONES 2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ES 2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0682605"/>
              <a:ext cx="1793875" cy="3619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63</xdr:row>
      <xdr:rowOff>140493</xdr:rowOff>
    </xdr:from>
    <xdr:to>
      <xdr:col>2</xdr:col>
      <xdr:colOff>161925</xdr:colOff>
      <xdr:row>83</xdr:row>
      <xdr:rowOff>47624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Sub-category 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-category 2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780260"/>
              <a:ext cx="1777365" cy="37166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17463</xdr:colOff>
      <xdr:row>20</xdr:row>
      <xdr:rowOff>152400</xdr:rowOff>
    </xdr:from>
    <xdr:to>
      <xdr:col>2</xdr:col>
      <xdr:colOff>155575</xdr:colOff>
      <xdr:row>39</xdr:row>
      <xdr:rowOff>158750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Sub-category 4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-category 4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45" y="6600825"/>
              <a:ext cx="1753870" cy="3625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68384</xdr:rowOff>
    </xdr:from>
    <xdr:to>
      <xdr:col>6</xdr:col>
      <xdr:colOff>800100</xdr:colOff>
      <xdr:row>41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66674</xdr:colOff>
      <xdr:row>16</xdr:row>
      <xdr:rowOff>195139</xdr:rowOff>
    </xdr:from>
    <xdr:to>
      <xdr:col>9</xdr:col>
      <xdr:colOff>175601</xdr:colOff>
      <xdr:row>30</xdr:row>
      <xdr:rowOff>187520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ZONES 1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ES 1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22610" y="3419475"/>
              <a:ext cx="1724660" cy="2663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0</xdr:col>
      <xdr:colOff>95250</xdr:colOff>
      <xdr:row>0</xdr:row>
      <xdr:rowOff>142874</xdr:rowOff>
    </xdr:from>
    <xdr:to>
      <xdr:col>8</xdr:col>
      <xdr:colOff>304800</xdr:colOff>
      <xdr:row>3</xdr:row>
      <xdr:rowOff>123824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5250" y="142240"/>
          <a:ext cx="11673840" cy="733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000" b="1" u="sng">
              <a:solidFill>
                <a:schemeClr val="accent2">
                  <a:lumMod val="50000"/>
                </a:schemeClr>
              </a:solidFill>
              <a:latin typeface="AR CENA" panose="02000000000000000000" pitchFamily="2" charset="0"/>
            </a:rPr>
            <a:t>MAPPING</a:t>
          </a:r>
          <a:r>
            <a:rPr lang="en-IN" sz="2000" b="1" u="sng" baseline="0">
              <a:solidFill>
                <a:schemeClr val="accent2">
                  <a:lumMod val="50000"/>
                </a:schemeClr>
              </a:solidFill>
              <a:latin typeface="AR CENA" panose="02000000000000000000" pitchFamily="2" charset="0"/>
            </a:rPr>
            <a:t> THE NUMBER OF FEMALES PER 1000 MALES ACCORDING TO RESIDENCE IN THE YEAR 2001-11 FOR ALL THE STATES AND UNION TERRITORIES:</a:t>
          </a:r>
          <a:endParaRPr lang="en-IN" sz="2000" b="1" u="sng">
            <a:solidFill>
              <a:schemeClr val="accent2">
                <a:lumMod val="50000"/>
              </a:schemeClr>
            </a:solidFill>
            <a:latin typeface="AR CENA" panose="02000000000000000000" pitchFamily="2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5</xdr:row>
      <xdr:rowOff>171448</xdr:rowOff>
    </xdr:from>
    <xdr:to>
      <xdr:col>8</xdr:col>
      <xdr:colOff>819150</xdr:colOff>
      <xdr:row>25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28575</xdr:rowOff>
    </xdr:from>
    <xdr:to>
      <xdr:col>10</xdr:col>
      <xdr:colOff>647699</xdr:colOff>
      <xdr:row>2</xdr:row>
      <xdr:rowOff>114301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9050" y="28575"/>
          <a:ext cx="12043410" cy="466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400" b="1" u="sng">
              <a:solidFill>
                <a:schemeClr val="accent4">
                  <a:lumMod val="50000"/>
                </a:schemeClr>
              </a:solidFill>
              <a:latin typeface="AR CENA" panose="02000000000000000000" pitchFamily="2" charset="0"/>
            </a:rPr>
            <a:t>CHANGE IN THE</a:t>
          </a:r>
          <a:r>
            <a:rPr lang="en-IN" sz="2400" b="1" u="sng" baseline="0">
              <a:solidFill>
                <a:schemeClr val="accent4">
                  <a:lumMod val="50000"/>
                </a:schemeClr>
              </a:solidFill>
              <a:latin typeface="AR CENA" panose="02000000000000000000" pitchFamily="2" charset="0"/>
            </a:rPr>
            <a:t> NUMBER OF FEMALES PER 1000 MEN  BETWEEN 2001-2011</a:t>
          </a:r>
          <a:endParaRPr lang="en-IN" sz="2400" b="1" u="sng">
            <a:solidFill>
              <a:schemeClr val="accent4">
                <a:lumMod val="50000"/>
              </a:schemeClr>
            </a:solidFill>
            <a:latin typeface="AR CENA" panose="02000000000000000000" pitchFamily="2" charset="0"/>
          </a:endParaRPr>
        </a:p>
      </xdr:txBody>
    </xdr:sp>
    <xdr:clientData/>
  </xdr:twoCellAnchor>
  <xdr:twoCellAnchor editAs="oneCell">
    <xdr:from>
      <xdr:col>0</xdr:col>
      <xdr:colOff>622663</xdr:colOff>
      <xdr:row>13</xdr:row>
      <xdr:rowOff>127363</xdr:rowOff>
    </xdr:from>
    <xdr:to>
      <xdr:col>1</xdr:col>
      <xdr:colOff>782320</xdr:colOff>
      <xdr:row>27</xdr:row>
      <xdr:rowOff>155938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ub-category 5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-category 5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2300" y="2603500"/>
              <a:ext cx="1822450" cy="2695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741680</xdr:colOff>
      <xdr:row>9</xdr:row>
      <xdr:rowOff>169545</xdr:rowOff>
    </xdr:from>
    <xdr:to>
      <xdr:col>8</xdr:col>
      <xdr:colOff>336550</xdr:colOff>
      <xdr:row>30</xdr:row>
      <xdr:rowOff>149225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19050</xdr:rowOff>
    </xdr:from>
    <xdr:to>
      <xdr:col>11</xdr:col>
      <xdr:colOff>219075</xdr:colOff>
      <xdr:row>4</xdr:row>
      <xdr:rowOff>85725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0" y="19050"/>
          <a:ext cx="10970895" cy="828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000" b="1" u="sng">
              <a:solidFill>
                <a:schemeClr val="accent2">
                  <a:lumMod val="50000"/>
                </a:schemeClr>
              </a:solidFill>
              <a:latin typeface="AR CENA" panose="02000000000000000000" pitchFamily="2" charset="0"/>
            </a:rPr>
            <a:t>IDENTIFYING THE</a:t>
          </a:r>
          <a:r>
            <a:rPr lang="en-IN" sz="2000" b="1" u="sng" baseline="0">
              <a:solidFill>
                <a:schemeClr val="accent2">
                  <a:lumMod val="50000"/>
                </a:schemeClr>
              </a:solidFill>
              <a:latin typeface="AR CENA" panose="02000000000000000000" pitchFamily="2" charset="0"/>
            </a:rPr>
            <a:t> NUMBER OF FEMALES PER 1000 MEN IN THE YEAR 2001-2011:</a:t>
          </a:r>
          <a:endParaRPr lang="en-IN" sz="2000" b="1" u="sng">
            <a:solidFill>
              <a:schemeClr val="accent2">
                <a:lumMod val="50000"/>
              </a:schemeClr>
            </a:solidFill>
            <a:latin typeface="AR CENA" panose="02000000000000000000" pitchFamily="2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681037</xdr:colOff>
      <xdr:row>9</xdr:row>
      <xdr:rowOff>38100</xdr:rowOff>
    </xdr:from>
    <xdr:to>
      <xdr:col>8</xdr:col>
      <xdr:colOff>642937</xdr:colOff>
      <xdr:row>24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0</xdr:row>
      <xdr:rowOff>180975</xdr:rowOff>
    </xdr:from>
    <xdr:to>
      <xdr:col>10</xdr:col>
      <xdr:colOff>419100</xdr:colOff>
      <xdr:row>3</xdr:row>
      <xdr:rowOff>161925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85725" y="180975"/>
          <a:ext cx="10498455" cy="552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400" u="sng">
              <a:solidFill>
                <a:schemeClr val="accent2">
                  <a:lumMod val="50000"/>
                </a:schemeClr>
              </a:solidFill>
              <a:latin typeface="AR CENA" panose="02000000000000000000" pitchFamily="2" charset="0"/>
            </a:rPr>
            <a:t>RATIO OF RURAL TO URBAN SEX RATIO IN THE UNION TERRITORIES</a:t>
          </a:r>
          <a:r>
            <a:rPr lang="en-IN" sz="2400" u="sng" baseline="0">
              <a:solidFill>
                <a:schemeClr val="accent2">
                  <a:lumMod val="50000"/>
                </a:schemeClr>
              </a:solidFill>
              <a:latin typeface="AR CENA" panose="02000000000000000000" pitchFamily="2" charset="0"/>
            </a:rPr>
            <a:t> OF INDIA IN THE YEAR 2001-2011</a:t>
          </a:r>
          <a:endParaRPr lang="en-IN" sz="2400" u="sng">
            <a:solidFill>
              <a:schemeClr val="accent2">
                <a:lumMod val="50000"/>
              </a:schemeClr>
            </a:solidFill>
            <a:latin typeface="AR CENA" panose="02000000000000000000" pitchFamily="2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38100</xdr:rowOff>
    </xdr:from>
    <xdr:to>
      <xdr:col>2</xdr:col>
      <xdr:colOff>1209675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</xdr:colOff>
      <xdr:row>0</xdr:row>
      <xdr:rowOff>114299</xdr:rowOff>
    </xdr:from>
    <xdr:to>
      <xdr:col>15</xdr:col>
      <xdr:colOff>106326</xdr:colOff>
      <xdr:row>5</xdr:row>
      <xdr:rowOff>35441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47625" y="114299"/>
          <a:ext cx="11896282" cy="895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000" u="sng">
              <a:solidFill>
                <a:schemeClr val="accent2">
                  <a:lumMod val="50000"/>
                </a:schemeClr>
              </a:solidFill>
              <a:latin typeface="AR CENA" panose="02000000000000000000" pitchFamily="2" charset="0"/>
            </a:rPr>
            <a:t>STUDYING THE NUMBER</a:t>
          </a:r>
          <a:r>
            <a:rPr lang="en-IN" sz="2000" u="sng" baseline="0">
              <a:solidFill>
                <a:schemeClr val="accent2">
                  <a:lumMod val="50000"/>
                </a:schemeClr>
              </a:solidFill>
              <a:latin typeface="AR CENA" panose="02000000000000000000" pitchFamily="2" charset="0"/>
            </a:rPr>
            <a:t> OF FEMALES PER 1000 MALES IN THE AGE GROUP(0-6 YEARS) AND IN THAT OF ADULTS FOR THE YEAR 2001-11:</a:t>
          </a:r>
          <a:endParaRPr lang="en-IN" sz="2000" u="sng">
            <a:solidFill>
              <a:schemeClr val="accent2">
                <a:lumMod val="50000"/>
              </a:schemeClr>
            </a:solidFill>
            <a:latin typeface="AR CENA" panose="02000000000000000000" pitchFamily="2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</xdr:row>
      <xdr:rowOff>38100</xdr:rowOff>
    </xdr:from>
    <xdr:to>
      <xdr:col>10</xdr:col>
      <xdr:colOff>209550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</xdr:colOff>
      <xdr:row>2</xdr:row>
      <xdr:rowOff>171450</xdr:rowOff>
    </xdr:from>
    <xdr:to>
      <xdr:col>9</xdr:col>
      <xdr:colOff>485775</xdr:colOff>
      <xdr:row>17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276860</xdr:colOff>
      <xdr:row>15</xdr:row>
      <xdr:rowOff>124460</xdr:rowOff>
    </xdr:from>
    <xdr:to>
      <xdr:col>1</xdr:col>
      <xdr:colOff>368300</xdr:colOff>
      <xdr:row>28</xdr:row>
      <xdr:rowOff>22860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ZONES 3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ES 3"/>
            </a:graphicData>
          </a:graphic>
        </xdr:graphicFrame>
      </mc:Choice>
      <mc:Fallback xmlns:r="http://schemas.openxmlformats.org/officeDocument/2006/relationships"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6860" y="2981960"/>
              <a:ext cx="1828800" cy="2374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2</xdr:col>
      <xdr:colOff>916940</xdr:colOff>
      <xdr:row>13</xdr:row>
      <xdr:rowOff>116840</xdr:rowOff>
    </xdr:from>
    <xdr:to>
      <xdr:col>4</xdr:col>
      <xdr:colOff>1343660</xdr:colOff>
      <xdr:row>28</xdr:row>
      <xdr:rowOff>2540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963930</xdr:colOff>
      <xdr:row>9</xdr:row>
      <xdr:rowOff>182880</xdr:rowOff>
    </xdr:from>
    <xdr:to>
      <xdr:col>8</xdr:col>
      <xdr:colOff>598170</xdr:colOff>
      <xdr:row>24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B8B4B1-DA34-4BB6-892F-C8243B7E97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194310</xdr:colOff>
      <xdr:row>4</xdr:row>
      <xdr:rowOff>106680</xdr:rowOff>
    </xdr:from>
    <xdr:to>
      <xdr:col>8</xdr:col>
      <xdr:colOff>723900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3B76EF-9296-499C-A091-25441616EC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307340</xdr:colOff>
      <xdr:row>5</xdr:row>
      <xdr:rowOff>48260</xdr:rowOff>
    </xdr:from>
    <xdr:to>
      <xdr:col>5</xdr:col>
      <xdr:colOff>452120</xdr:colOff>
      <xdr:row>19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749300</xdr:colOff>
      <xdr:row>6</xdr:row>
      <xdr:rowOff>132080</xdr:rowOff>
    </xdr:from>
    <xdr:to>
      <xdr:col>9</xdr:col>
      <xdr:colOff>764540</xdr:colOff>
      <xdr:row>20</xdr:row>
      <xdr:rowOff>186055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703580</xdr:colOff>
      <xdr:row>24</xdr:row>
      <xdr:rowOff>55880</xdr:rowOff>
    </xdr:from>
    <xdr:to>
      <xdr:col>10</xdr:col>
      <xdr:colOff>383540</xdr:colOff>
      <xdr:row>38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170180</xdr:colOff>
      <xdr:row>5</xdr:row>
      <xdr:rowOff>19050</xdr:rowOff>
    </xdr:from>
    <xdr:to>
      <xdr:col>13</xdr:col>
      <xdr:colOff>619125</xdr:colOff>
      <xdr:row>27</xdr:row>
      <xdr:rowOff>131445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156210</xdr:colOff>
      <xdr:row>8</xdr:row>
      <xdr:rowOff>38100</xdr:rowOff>
    </xdr:from>
    <xdr:to>
      <xdr:col>8</xdr:col>
      <xdr:colOff>765810</xdr:colOff>
      <xdr:row>22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445770</xdr:colOff>
      <xdr:row>10</xdr:row>
      <xdr:rowOff>68580</xdr:rowOff>
    </xdr:from>
    <xdr:to>
      <xdr:col>8</xdr:col>
      <xdr:colOff>262890</xdr:colOff>
      <xdr:row>24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A1C0C6-A1D0-400E-AF7B-B86BD7019F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365760</xdr:colOff>
      <xdr:row>1</xdr:row>
      <xdr:rowOff>137160</xdr:rowOff>
    </xdr:from>
    <xdr:to>
      <xdr:col>11</xdr:col>
      <xdr:colOff>205740</xdr:colOff>
      <xdr:row>6</xdr:row>
      <xdr:rowOff>99060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3AE5647-1D4A-42AD-9FF7-16DD30A20B4C}"/>
            </a:ext>
          </a:extLst>
        </xdr:cNvPr>
        <xdr:cNvSpPr/>
      </xdr:nvSpPr>
      <xdr:spPr>
        <a:xfrm>
          <a:off x="2743200" y="327660"/>
          <a:ext cx="6179820" cy="914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3200"/>
            <a:t>SEX RATIO IN INDIA(2001-2011)</a:t>
          </a:r>
        </a:p>
      </xdr:txBody>
    </xdr:sp>
    <xdr:clientData/>
  </xdr:twoCellAnchor>
  <xdr:twoCellAnchor>
    <xdr:from>
      <xdr:col>5</xdr:col>
      <xdr:colOff>205740</xdr:colOff>
      <xdr:row>8</xdr:row>
      <xdr:rowOff>15240</xdr:rowOff>
    </xdr:from>
    <xdr:to>
      <xdr:col>8</xdr:col>
      <xdr:colOff>358140</xdr:colOff>
      <xdr:row>16</xdr:row>
      <xdr:rowOff>99060</xdr:rowOff>
    </xdr:to>
    <xdr:sp macro="" textlink="">
      <xdr:nvSpPr>
        <xdr:cNvPr id="3" name="Oval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F8EA33-3229-4BE0-9BEA-80FBDFD101A4}"/>
            </a:ext>
          </a:extLst>
        </xdr:cNvPr>
        <xdr:cNvSpPr/>
      </xdr:nvSpPr>
      <xdr:spPr>
        <a:xfrm>
          <a:off x="4168140" y="1539240"/>
          <a:ext cx="2529840" cy="16078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800"/>
            <a:t>SEX RATIO  DATA SET</a:t>
          </a:r>
        </a:p>
      </xdr:txBody>
    </xdr:sp>
    <xdr:clientData/>
  </xdr:twoCellAnchor>
  <xdr:twoCellAnchor>
    <xdr:from>
      <xdr:col>9</xdr:col>
      <xdr:colOff>175260</xdr:colOff>
      <xdr:row>10</xdr:row>
      <xdr:rowOff>68580</xdr:rowOff>
    </xdr:from>
    <xdr:to>
      <xdr:col>12</xdr:col>
      <xdr:colOff>464820</xdr:colOff>
      <xdr:row>13</xdr:row>
      <xdr:rowOff>160020</xdr:rowOff>
    </xdr:to>
    <xdr:sp macro="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CCCA80-E9D1-4708-B635-53A7BC3431C6}"/>
            </a:ext>
          </a:extLst>
        </xdr:cNvPr>
        <xdr:cNvSpPr/>
      </xdr:nvSpPr>
      <xdr:spPr>
        <a:xfrm>
          <a:off x="7307580" y="1973580"/>
          <a:ext cx="2667000" cy="662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800"/>
            <a:t>MY DASHBOARD</a:t>
          </a:r>
        </a:p>
      </xdr:txBody>
    </xdr:sp>
    <xdr:clientData/>
  </xdr:twoCellAnchor>
  <xdr:twoCellAnchor>
    <xdr:from>
      <xdr:col>6</xdr:col>
      <xdr:colOff>396240</xdr:colOff>
      <xdr:row>6</xdr:row>
      <xdr:rowOff>99060</xdr:rowOff>
    </xdr:from>
    <xdr:to>
      <xdr:col>7</xdr:col>
      <xdr:colOff>88392</xdr:colOff>
      <xdr:row>8</xdr:row>
      <xdr:rowOff>22860</xdr:rowOff>
    </xdr:to>
    <xdr:sp macro="" textlink="">
      <xdr:nvSpPr>
        <xdr:cNvPr id="5" name="Arrow: Down 4">
          <a:extLst>
            <a:ext uri="{FF2B5EF4-FFF2-40B4-BE49-F238E27FC236}">
              <a16:creationId xmlns:a16="http://schemas.microsoft.com/office/drawing/2014/main" id="{0483563A-936F-465D-9817-C6A77F92DD0C}"/>
            </a:ext>
          </a:extLst>
        </xdr:cNvPr>
        <xdr:cNvSpPr/>
      </xdr:nvSpPr>
      <xdr:spPr>
        <a:xfrm>
          <a:off x="5151120" y="1242060"/>
          <a:ext cx="484632" cy="304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350520</xdr:colOff>
      <xdr:row>10</xdr:row>
      <xdr:rowOff>160020</xdr:rowOff>
    </xdr:from>
    <xdr:to>
      <xdr:col>9</xdr:col>
      <xdr:colOff>182880</xdr:colOff>
      <xdr:row>13</xdr:row>
      <xdr:rowOff>73152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2961F638-0747-4E7D-A0C3-8450209EB1D4}"/>
            </a:ext>
          </a:extLst>
        </xdr:cNvPr>
        <xdr:cNvSpPr/>
      </xdr:nvSpPr>
      <xdr:spPr>
        <a:xfrm>
          <a:off x="6690360" y="2065020"/>
          <a:ext cx="624840" cy="48463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411480</xdr:colOff>
      <xdr:row>10</xdr:row>
      <xdr:rowOff>167640</xdr:rowOff>
    </xdr:from>
    <xdr:to>
      <xdr:col>5</xdr:col>
      <xdr:colOff>216408</xdr:colOff>
      <xdr:row>13</xdr:row>
      <xdr:rowOff>80772</xdr:rowOff>
    </xdr:to>
    <xdr:sp macro="" textlink="">
      <xdr:nvSpPr>
        <xdr:cNvPr id="7" name="Arrow: Left 6">
          <a:extLst>
            <a:ext uri="{FF2B5EF4-FFF2-40B4-BE49-F238E27FC236}">
              <a16:creationId xmlns:a16="http://schemas.microsoft.com/office/drawing/2014/main" id="{365DE6D2-40C4-45D2-9373-B0BD02B1A583}"/>
            </a:ext>
          </a:extLst>
        </xdr:cNvPr>
        <xdr:cNvSpPr/>
      </xdr:nvSpPr>
      <xdr:spPr>
        <a:xfrm>
          <a:off x="3581400" y="2072640"/>
          <a:ext cx="597408" cy="48463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762000</xdr:colOff>
      <xdr:row>9</xdr:row>
      <xdr:rowOff>175260</xdr:rowOff>
    </xdr:from>
    <xdr:to>
      <xdr:col>4</xdr:col>
      <xdr:colOff>403860</xdr:colOff>
      <xdr:row>15</xdr:row>
      <xdr:rowOff>106680</xdr:rowOff>
    </xdr:to>
    <xdr:sp macro="" textlink="">
      <xdr:nvSpPr>
        <xdr:cNvPr id="8" name="Rectangle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2FC70C9-9CD8-4EB9-8360-6F3940A61019}"/>
            </a:ext>
          </a:extLst>
        </xdr:cNvPr>
        <xdr:cNvSpPr/>
      </xdr:nvSpPr>
      <xdr:spPr>
        <a:xfrm>
          <a:off x="1554480" y="1889760"/>
          <a:ext cx="2019300" cy="10744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800"/>
            <a:t>SEX RATIO COMPLETE</a:t>
          </a:r>
        </a:p>
      </xdr:txBody>
    </xdr:sp>
    <xdr:clientData/>
  </xdr:twoCellAnchor>
  <xdr:twoCellAnchor>
    <xdr:from>
      <xdr:col>1</xdr:col>
      <xdr:colOff>746760</xdr:colOff>
      <xdr:row>18</xdr:row>
      <xdr:rowOff>106680</xdr:rowOff>
    </xdr:from>
    <xdr:to>
      <xdr:col>4</xdr:col>
      <xdr:colOff>403860</xdr:colOff>
      <xdr:row>24</xdr:row>
      <xdr:rowOff>137160</xdr:rowOff>
    </xdr:to>
    <xdr:sp macro="" textlink="">
      <xdr:nvSpPr>
        <xdr:cNvPr id="9" name="Rectangle: Single Corner Snipped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AED7545-7DD2-459C-B8B3-7DB9DE757AA9}"/>
            </a:ext>
          </a:extLst>
        </xdr:cNvPr>
        <xdr:cNvSpPr/>
      </xdr:nvSpPr>
      <xdr:spPr>
        <a:xfrm>
          <a:off x="1539240" y="3535680"/>
          <a:ext cx="2034540" cy="1173480"/>
        </a:xfrm>
        <a:prstGeom prst="snip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800"/>
            <a:t>CHANGE</a:t>
          </a:r>
          <a:r>
            <a:rPr lang="en-IN" sz="2800" baseline="0"/>
            <a:t> IN SEX RATIO</a:t>
          </a:r>
          <a:endParaRPr lang="en-IN" sz="2800"/>
        </a:p>
      </xdr:txBody>
    </xdr:sp>
    <xdr:clientData/>
  </xdr:twoCellAnchor>
  <xdr:twoCellAnchor>
    <xdr:from>
      <xdr:col>2</xdr:col>
      <xdr:colOff>655320</xdr:colOff>
      <xdr:row>15</xdr:row>
      <xdr:rowOff>99060</xdr:rowOff>
    </xdr:from>
    <xdr:to>
      <xdr:col>3</xdr:col>
      <xdr:colOff>347472</xdr:colOff>
      <xdr:row>18</xdr:row>
      <xdr:rowOff>129540</xdr:rowOff>
    </xdr:to>
    <xdr:sp macro="" textlink="">
      <xdr:nvSpPr>
        <xdr:cNvPr id="10" name="Arrow: Down 9">
          <a:extLst>
            <a:ext uri="{FF2B5EF4-FFF2-40B4-BE49-F238E27FC236}">
              <a16:creationId xmlns:a16="http://schemas.microsoft.com/office/drawing/2014/main" id="{0093DBF5-B668-473C-83DA-61671FC7246F}"/>
            </a:ext>
          </a:extLst>
        </xdr:cNvPr>
        <xdr:cNvSpPr/>
      </xdr:nvSpPr>
      <xdr:spPr>
        <a:xfrm>
          <a:off x="2240280" y="2956560"/>
          <a:ext cx="484632" cy="6019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434340</xdr:colOff>
      <xdr:row>19</xdr:row>
      <xdr:rowOff>45720</xdr:rowOff>
    </xdr:from>
    <xdr:to>
      <xdr:col>8</xdr:col>
      <xdr:colOff>502920</xdr:colOff>
      <xdr:row>22</xdr:row>
      <xdr:rowOff>121920</xdr:rowOff>
    </xdr:to>
    <xdr:sp macro="" textlink="">
      <xdr:nvSpPr>
        <xdr:cNvPr id="11" name="Rectangle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4AA15C-4D85-44DF-89A5-396E5E41C3E0}"/>
            </a:ext>
          </a:extLst>
        </xdr:cNvPr>
        <xdr:cNvSpPr/>
      </xdr:nvSpPr>
      <xdr:spPr>
        <a:xfrm>
          <a:off x="4396740" y="3665220"/>
          <a:ext cx="2446020" cy="647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800"/>
            <a:t>RATIO OF U.T.</a:t>
          </a:r>
        </a:p>
      </xdr:txBody>
    </xdr:sp>
    <xdr:clientData/>
  </xdr:twoCellAnchor>
  <xdr:twoCellAnchor>
    <xdr:from>
      <xdr:col>9</xdr:col>
      <xdr:colOff>586740</xdr:colOff>
      <xdr:row>19</xdr:row>
      <xdr:rowOff>7620</xdr:rowOff>
    </xdr:from>
    <xdr:to>
      <xdr:col>12</xdr:col>
      <xdr:colOff>38100</xdr:colOff>
      <xdr:row>22</xdr:row>
      <xdr:rowOff>144780</xdr:rowOff>
    </xdr:to>
    <xdr:sp macro="" textlink="">
      <xdr:nvSpPr>
        <xdr:cNvPr id="12" name="Rectangle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482CD5F-82B2-431F-8AC8-24C104BEC176}"/>
            </a:ext>
          </a:extLst>
        </xdr:cNvPr>
        <xdr:cNvSpPr/>
      </xdr:nvSpPr>
      <xdr:spPr>
        <a:xfrm>
          <a:off x="7719060" y="3627120"/>
          <a:ext cx="1828800" cy="7086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800"/>
            <a:t>CSR VS SR</a:t>
          </a:r>
        </a:p>
      </xdr:txBody>
    </xdr:sp>
    <xdr:clientData/>
  </xdr:twoCellAnchor>
  <xdr:twoCellAnchor>
    <xdr:from>
      <xdr:col>1</xdr:col>
      <xdr:colOff>723900</xdr:colOff>
      <xdr:row>28</xdr:row>
      <xdr:rowOff>91440</xdr:rowOff>
    </xdr:from>
    <xdr:to>
      <xdr:col>4</xdr:col>
      <xdr:colOff>754380</xdr:colOff>
      <xdr:row>32</xdr:row>
      <xdr:rowOff>0</xdr:rowOff>
    </xdr:to>
    <xdr:sp macro="" textlink="">
      <xdr:nvSpPr>
        <xdr:cNvPr id="13" name="Rectangle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3301AC0-C8E2-4C8F-85CD-2413A25DC226}"/>
            </a:ext>
          </a:extLst>
        </xdr:cNvPr>
        <xdr:cNvSpPr/>
      </xdr:nvSpPr>
      <xdr:spPr>
        <a:xfrm>
          <a:off x="1516380" y="5425440"/>
          <a:ext cx="2407920" cy="670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800"/>
            <a:t>LR VS SR PIVOT</a:t>
          </a:r>
        </a:p>
      </xdr:txBody>
    </xdr:sp>
    <xdr:clientData/>
  </xdr:twoCellAnchor>
  <xdr:twoCellAnchor>
    <xdr:from>
      <xdr:col>5</xdr:col>
      <xdr:colOff>563880</xdr:colOff>
      <xdr:row>28</xdr:row>
      <xdr:rowOff>76200</xdr:rowOff>
    </xdr:from>
    <xdr:to>
      <xdr:col>9</xdr:col>
      <xdr:colOff>129540</xdr:colOff>
      <xdr:row>31</xdr:row>
      <xdr:rowOff>167640</xdr:rowOff>
    </xdr:to>
    <xdr:sp macro="" textlink="">
      <xdr:nvSpPr>
        <xdr:cNvPr id="14" name="Rectangle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AB506F5-9EBE-4544-9E7A-0376457EBB0D}"/>
            </a:ext>
          </a:extLst>
        </xdr:cNvPr>
        <xdr:cNvSpPr/>
      </xdr:nvSpPr>
      <xdr:spPr>
        <a:xfrm>
          <a:off x="4526280" y="5410200"/>
          <a:ext cx="2735580" cy="662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800"/>
            <a:t>DGR VS SR PIVOT</a:t>
          </a:r>
        </a:p>
      </xdr:txBody>
    </xdr:sp>
    <xdr:clientData/>
  </xdr:twoCellAnchor>
  <xdr:twoCellAnchor>
    <xdr:from>
      <xdr:col>9</xdr:col>
      <xdr:colOff>556260</xdr:colOff>
      <xdr:row>28</xdr:row>
      <xdr:rowOff>15240</xdr:rowOff>
    </xdr:from>
    <xdr:to>
      <xdr:col>12</xdr:col>
      <xdr:colOff>236220</xdr:colOff>
      <xdr:row>31</xdr:row>
      <xdr:rowOff>144780</xdr:rowOff>
    </xdr:to>
    <xdr:sp macro="" textlink="">
      <xdr:nvSpPr>
        <xdr:cNvPr id="15" name="Rectangle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0231232-AA40-4DB3-9453-B3381CEC9BBA}"/>
            </a:ext>
          </a:extLst>
        </xdr:cNvPr>
        <xdr:cNvSpPr/>
      </xdr:nvSpPr>
      <xdr:spPr>
        <a:xfrm>
          <a:off x="7688580" y="5349240"/>
          <a:ext cx="2057400" cy="7010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800"/>
            <a:t>ZONE WISE</a:t>
          </a:r>
        </a:p>
      </xdr:txBody>
    </xdr:sp>
    <xdr:clientData/>
  </xdr:twoCellAnchor>
  <xdr:twoCellAnchor>
    <xdr:from>
      <xdr:col>2</xdr:col>
      <xdr:colOff>281940</xdr:colOff>
      <xdr:row>36</xdr:row>
      <xdr:rowOff>60960</xdr:rowOff>
    </xdr:from>
    <xdr:to>
      <xdr:col>4</xdr:col>
      <xdr:colOff>601980</xdr:colOff>
      <xdr:row>39</xdr:row>
      <xdr:rowOff>102108</xdr:rowOff>
    </xdr:to>
    <xdr:sp macro="" textlink="">
      <xdr:nvSpPr>
        <xdr:cNvPr id="16" name="Flowchart: Alternate Process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7B15ED3-7A65-4622-BA9B-6F3D6F5020D9}"/>
            </a:ext>
          </a:extLst>
        </xdr:cNvPr>
        <xdr:cNvSpPr/>
      </xdr:nvSpPr>
      <xdr:spPr>
        <a:xfrm>
          <a:off x="1866900" y="6918960"/>
          <a:ext cx="1905000" cy="612648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800"/>
            <a:t>%CHANGE</a:t>
          </a:r>
        </a:p>
      </xdr:txBody>
    </xdr:sp>
    <xdr:clientData/>
  </xdr:twoCellAnchor>
  <xdr:twoCellAnchor>
    <xdr:from>
      <xdr:col>5</xdr:col>
      <xdr:colOff>487680</xdr:colOff>
      <xdr:row>35</xdr:row>
      <xdr:rowOff>91440</xdr:rowOff>
    </xdr:from>
    <xdr:to>
      <xdr:col>9</xdr:col>
      <xdr:colOff>160020</xdr:colOff>
      <xdr:row>41</xdr:row>
      <xdr:rowOff>144780</xdr:rowOff>
    </xdr:to>
    <xdr:sp macro="" textlink="">
      <xdr:nvSpPr>
        <xdr:cNvPr id="17" name="Flowchart: Alternate Process 1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B409F7D-C37F-4FA1-A02B-88F969FDEE97}"/>
            </a:ext>
          </a:extLst>
        </xdr:cNvPr>
        <xdr:cNvSpPr/>
      </xdr:nvSpPr>
      <xdr:spPr>
        <a:xfrm>
          <a:off x="4450080" y="6758940"/>
          <a:ext cx="2842260" cy="1196340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800"/>
            <a:t>SUB CATEGORY WISE TOTAL</a:t>
          </a:r>
        </a:p>
      </xdr:txBody>
    </xdr:sp>
    <xdr:clientData/>
  </xdr:twoCellAnchor>
  <xdr:twoCellAnchor>
    <xdr:from>
      <xdr:col>9</xdr:col>
      <xdr:colOff>632460</xdr:colOff>
      <xdr:row>35</xdr:row>
      <xdr:rowOff>53340</xdr:rowOff>
    </xdr:from>
    <xdr:to>
      <xdr:col>12</xdr:col>
      <xdr:colOff>723900</xdr:colOff>
      <xdr:row>41</xdr:row>
      <xdr:rowOff>53340</xdr:rowOff>
    </xdr:to>
    <xdr:sp macro="" textlink="">
      <xdr:nvSpPr>
        <xdr:cNvPr id="18" name="Flowchart: Alternate Process 1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3978EDD-56D1-4417-9943-61AA0341C88A}"/>
            </a:ext>
          </a:extLst>
        </xdr:cNvPr>
        <xdr:cNvSpPr/>
      </xdr:nvSpPr>
      <xdr:spPr>
        <a:xfrm>
          <a:off x="7764780" y="6720840"/>
          <a:ext cx="2468880" cy="1143000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400"/>
            <a:t>SUB CATEGORY WISE</a:t>
          </a:r>
          <a:r>
            <a:rPr lang="en-IN" sz="2400" baseline="0"/>
            <a:t> TOTAL</a:t>
          </a:r>
          <a:endParaRPr lang="en-IN" sz="2400"/>
        </a:p>
      </xdr:txBody>
    </xdr:sp>
    <xdr:clientData/>
  </xdr:twoCellAnchor>
  <xdr:twoCellAnchor>
    <xdr:from>
      <xdr:col>2</xdr:col>
      <xdr:colOff>121920</xdr:colOff>
      <xdr:row>44</xdr:row>
      <xdr:rowOff>121920</xdr:rowOff>
    </xdr:from>
    <xdr:to>
      <xdr:col>4</xdr:col>
      <xdr:colOff>601980</xdr:colOff>
      <xdr:row>48</xdr:row>
      <xdr:rowOff>185928</xdr:rowOff>
    </xdr:to>
    <xdr:sp macro="" textlink="">
      <xdr:nvSpPr>
        <xdr:cNvPr id="19" name="Flowchart: Alternate Process 1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2883B77-B546-471B-9165-6963B65394FE}"/>
            </a:ext>
          </a:extLst>
        </xdr:cNvPr>
        <xdr:cNvSpPr/>
      </xdr:nvSpPr>
      <xdr:spPr>
        <a:xfrm>
          <a:off x="1706880" y="8503920"/>
          <a:ext cx="2065020" cy="826008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000"/>
            <a:t>BOTTOM 5 SEX RATIO OF 2011</a:t>
          </a:r>
        </a:p>
      </xdr:txBody>
    </xdr:sp>
    <xdr:clientData/>
  </xdr:twoCellAnchor>
  <xdr:twoCellAnchor>
    <xdr:from>
      <xdr:col>14</xdr:col>
      <xdr:colOff>53340</xdr:colOff>
      <xdr:row>7</xdr:row>
      <xdr:rowOff>45720</xdr:rowOff>
    </xdr:from>
    <xdr:to>
      <xdr:col>16</xdr:col>
      <xdr:colOff>701040</xdr:colOff>
      <xdr:row>14</xdr:row>
      <xdr:rowOff>30480</xdr:rowOff>
    </xdr:to>
    <xdr:sp macro="" textlink="">
      <xdr:nvSpPr>
        <xdr:cNvPr id="20" name="Oval 1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5D0103E-7FF5-4E51-B79F-4B697851E65E}"/>
            </a:ext>
          </a:extLst>
        </xdr:cNvPr>
        <xdr:cNvSpPr/>
      </xdr:nvSpPr>
      <xdr:spPr>
        <a:xfrm>
          <a:off x="11148060" y="1379220"/>
          <a:ext cx="2232660" cy="131826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400"/>
            <a:t>CHILD SEX RATIO</a:t>
          </a:r>
        </a:p>
      </xdr:txBody>
    </xdr:sp>
    <xdr:clientData/>
  </xdr:twoCellAnchor>
  <xdr:twoCellAnchor>
    <xdr:from>
      <xdr:col>13</xdr:col>
      <xdr:colOff>762000</xdr:colOff>
      <xdr:row>17</xdr:row>
      <xdr:rowOff>99060</xdr:rowOff>
    </xdr:from>
    <xdr:to>
      <xdr:col>16</xdr:col>
      <xdr:colOff>304800</xdr:colOff>
      <xdr:row>23</xdr:row>
      <xdr:rowOff>30480</xdr:rowOff>
    </xdr:to>
    <xdr:sp macro="" textlink="">
      <xdr:nvSpPr>
        <xdr:cNvPr id="21" name="Oval 2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544F674-C72C-4370-9181-1C4509A0EF70}"/>
            </a:ext>
          </a:extLst>
        </xdr:cNvPr>
        <xdr:cNvSpPr/>
      </xdr:nvSpPr>
      <xdr:spPr>
        <a:xfrm>
          <a:off x="11064240" y="3337560"/>
          <a:ext cx="1920240" cy="10744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000"/>
            <a:t>LITERACY RATE,DATA SET</a:t>
          </a:r>
        </a:p>
      </xdr:txBody>
    </xdr:sp>
    <xdr:clientData/>
  </xdr:twoCellAnchor>
  <xdr:twoCellAnchor>
    <xdr:from>
      <xdr:col>14</xdr:col>
      <xdr:colOff>139958</xdr:colOff>
      <xdr:row>26</xdr:row>
      <xdr:rowOff>7775</xdr:rowOff>
    </xdr:from>
    <xdr:to>
      <xdr:col>17</xdr:col>
      <xdr:colOff>303245</xdr:colOff>
      <xdr:row>33</xdr:row>
      <xdr:rowOff>163286</xdr:rowOff>
    </xdr:to>
    <xdr:sp macro="" textlink="">
      <xdr:nvSpPr>
        <xdr:cNvPr id="22" name="Oval 2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9808A66-FB7F-4D6C-BD35-E5B9CBE778C5}"/>
            </a:ext>
          </a:extLst>
        </xdr:cNvPr>
        <xdr:cNvSpPr/>
      </xdr:nvSpPr>
      <xdr:spPr>
        <a:xfrm>
          <a:off x="11243387" y="5061857"/>
          <a:ext cx="2542593" cy="15162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000"/>
            <a:t>CALCULATING CORRE. COFFE.</a:t>
          </a:r>
        </a:p>
      </xdr:txBody>
    </xdr:sp>
    <xdr:clientData/>
  </xdr:twoCellAnchor>
  <xdr:twoCellAnchor>
    <xdr:from>
      <xdr:col>5</xdr:col>
      <xdr:colOff>684246</xdr:colOff>
      <xdr:row>45</xdr:row>
      <xdr:rowOff>31256</xdr:rowOff>
    </xdr:from>
    <xdr:to>
      <xdr:col>9</xdr:col>
      <xdr:colOff>357675</xdr:colOff>
      <xdr:row>50</xdr:row>
      <xdr:rowOff>132183</xdr:rowOff>
    </xdr:to>
    <xdr:sp macro="" textlink="">
      <xdr:nvSpPr>
        <xdr:cNvPr id="23" name="Flowchart: Alternate Process 2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74AA0228-3323-4BAF-9097-C5191E856728}"/>
            </a:ext>
          </a:extLst>
        </xdr:cNvPr>
        <xdr:cNvSpPr/>
      </xdr:nvSpPr>
      <xdr:spPr>
        <a:xfrm>
          <a:off x="4649756" y="8778705"/>
          <a:ext cx="2845837" cy="1072866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400"/>
            <a:t>SUB</a:t>
          </a:r>
          <a:r>
            <a:rPr lang="en-IN" sz="2400" baseline="0"/>
            <a:t> CATEGORY </a:t>
          </a:r>
          <a:r>
            <a:rPr lang="en-IN" sz="2400"/>
            <a:t> WISE DIFFERENCE</a:t>
          </a:r>
        </a:p>
      </xdr:txBody>
    </xdr:sp>
    <xdr:clientData/>
  </xdr:twoCellAnchor>
  <xdr:twoCellAnchor>
    <xdr:from>
      <xdr:col>10</xdr:col>
      <xdr:colOff>241041</xdr:colOff>
      <xdr:row>46</xdr:row>
      <xdr:rowOff>38877</xdr:rowOff>
    </xdr:from>
    <xdr:to>
      <xdr:col>13</xdr:col>
      <xdr:colOff>762000</xdr:colOff>
      <xdr:row>51</xdr:row>
      <xdr:rowOff>93306</xdr:rowOff>
    </xdr:to>
    <xdr:sp macro="" textlink="">
      <xdr:nvSpPr>
        <xdr:cNvPr id="24" name="Rectangle 2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AE96500-2EEF-4656-8DDE-613DAED845F6}"/>
            </a:ext>
          </a:extLst>
        </xdr:cNvPr>
        <xdr:cNvSpPr/>
      </xdr:nvSpPr>
      <xdr:spPr>
        <a:xfrm>
          <a:off x="8172061" y="8980714"/>
          <a:ext cx="2900266" cy="10263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800"/>
            <a:t>RANK OF FEMALE DIFFERENCE</a:t>
          </a:r>
        </a:p>
      </xdr:txBody>
    </xdr:sp>
    <xdr:clientData/>
  </xdr:twoCellAnchor>
  <xdr:twoCellAnchor>
    <xdr:from>
      <xdr:col>14</xdr:col>
      <xdr:colOff>443204</xdr:colOff>
      <xdr:row>35</xdr:row>
      <xdr:rowOff>171062</xdr:rowOff>
    </xdr:from>
    <xdr:to>
      <xdr:col>17</xdr:col>
      <xdr:colOff>171061</xdr:colOff>
      <xdr:row>44</xdr:row>
      <xdr:rowOff>4666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1E7E5481-9B66-4CA4-959E-F40C93DAF8B6}"/>
            </a:ext>
          </a:extLst>
        </xdr:cNvPr>
        <xdr:cNvSpPr/>
      </xdr:nvSpPr>
      <xdr:spPr>
        <a:xfrm>
          <a:off x="11546633" y="6974633"/>
          <a:ext cx="2107163" cy="1583094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000"/>
            <a:t>DRCADAL GROWTH RATE VS S.R.</a:t>
          </a:r>
        </a:p>
      </xdr:txBody>
    </xdr:sp>
    <xdr:clientData/>
  </xdr:twoCellAnchor>
  <xdr:twoCellAnchor>
    <xdr:from>
      <xdr:col>5</xdr:col>
      <xdr:colOff>513184</xdr:colOff>
      <xdr:row>56</xdr:row>
      <xdr:rowOff>163286</xdr:rowOff>
    </xdr:from>
    <xdr:to>
      <xdr:col>10</xdr:col>
      <xdr:colOff>217715</xdr:colOff>
      <xdr:row>60</xdr:row>
      <xdr:rowOff>178837</xdr:rowOff>
    </xdr:to>
    <xdr:sp macro="" textlink="">
      <xdr:nvSpPr>
        <xdr:cNvPr id="26" name="Flowchart: Alternate Process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660C748-F61B-4911-9A8A-AC2333D17291}"/>
            </a:ext>
          </a:extLst>
        </xdr:cNvPr>
        <xdr:cNvSpPr/>
      </xdr:nvSpPr>
      <xdr:spPr>
        <a:xfrm>
          <a:off x="4478694" y="11049000"/>
          <a:ext cx="3670041" cy="793102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800"/>
            <a:t>LITERACY RATE PIVOT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OME" refreshedDate="43414.714848148098" createdVersion="5" refreshedVersion="5" minRefreshableVersion="3" recordCount="35" xr:uid="{00000000-000A-0000-FFFF-FFFF00000000}">
  <cacheSource type="worksheet">
    <worksheetSource ref="C1:J36" sheet="decadal growth rate vs S.R. "/>
  </cacheSource>
  <cacheFields count="8">
    <cacheField name="Sub-category" numFmtId="0">
      <sharedItems containsSemiMixedTypes="0" containsNonDate="0" containsString="0"/>
    </cacheField>
    <cacheField name=" Total - 2001" numFmtId="0">
      <sharedItems containsSemiMixedTypes="0" containsNonDate="0" containsString="0"/>
    </cacheField>
    <cacheField name=" Total - 2011" numFmtId="0">
      <sharedItems containsSemiMixedTypes="0" containsNonDate="0" containsString="0"/>
    </cacheField>
    <cacheField name="Difference" numFmtId="0">
      <sharedItems containsSemiMixedTypes="0" containsNonDate="0" containsString="0"/>
    </cacheField>
    <cacheField name="DGR -2001-11" numFmtId="0">
      <sharedItems containsSemiMixedTypes="0" containsNonDate="0" containsString="0"/>
    </cacheField>
    <cacheField name="RANK DIFF." numFmtId="0">
      <sharedItems containsSemiMixedTypes="0" containsNonDate="0" containsString="0"/>
    </cacheField>
    <cacheField name="RANK DGR" numFmtId="0">
      <sharedItems containsSemiMixedTypes="0" containsNonDate="0" containsString="0"/>
    </cacheField>
    <cacheField name="(RANK DGR-RANK DIFF.)^2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yam jat" refreshedDate="43787.500136111099" createdVersion="5" refreshedVersion="6" minRefreshableVersion="3" recordCount="36" xr:uid="{00000000-000A-0000-FFFF-FFFF01000000}">
  <cacheSource type="worksheet">
    <worksheetSource name="SexRatio"/>
  </cacheSource>
  <cacheFields count="14">
    <cacheField name="Category" numFmtId="0">
      <sharedItems containsBlank="1" count="4">
        <s v="Country"/>
        <s v="State"/>
        <s v="Union Territory"/>
        <m u="1"/>
      </sharedItems>
    </cacheField>
    <cacheField name="ZONES" numFmtId="0">
      <sharedItems containsBlank="1" count="9">
        <s v="Country"/>
        <s v="South"/>
        <s v="North East"/>
        <s v="East"/>
        <s v="Central"/>
        <s v="West"/>
        <s v="North"/>
        <s v="U.T."/>
        <m u="1"/>
      </sharedItems>
    </cacheField>
    <cacheField name="Sub-category" numFmtId="0">
      <sharedItems containsBlank="1" count="37">
        <s v="INDIA"/>
        <s v="Andhra Pradesh"/>
        <s v="Arunachal Pradesh"/>
        <s v="Assam"/>
        <s v="Bihar"/>
        <s v="Chhattisgarh"/>
        <s v="Goa"/>
        <s v="Gujarat"/>
        <s v="Haryana"/>
        <s v="Himachal Pradesh"/>
        <s v="Jammu &amp; Kashmir"/>
        <s v="Jharkhand"/>
        <s v="Karnataka"/>
        <s v="Kerala"/>
        <s v="Madhya Pradesh"/>
        <s v="Maharashtra"/>
        <s v="Manipur"/>
        <s v="Meghalaya"/>
        <s v="Mizoram"/>
        <s v="Nagaland"/>
        <s v="Odisha"/>
        <s v="Punjab"/>
        <s v="Rajasthan"/>
        <s v="Sikkim"/>
        <s v="Tamil Nadu"/>
        <s v="Tripura"/>
        <s v="Uttar Pradesh"/>
        <s v="Uttarakhand"/>
        <s v="West Bengal"/>
        <s v="A &amp; N Islands"/>
        <s v="Chandigarh"/>
        <s v="D &amp; N Haveli"/>
        <s v="Daman &amp; Diu"/>
        <s v="Lakshadweep"/>
        <s v="NCT of Delhi"/>
        <s v="Puducherry"/>
        <m u="1"/>
      </sharedItems>
    </cacheField>
    <cacheField name=" Total - 2001" numFmtId="0">
      <sharedItems containsSemiMixedTypes="0" containsNonDate="0" containsString="0" containsNumber="1" containsInteger="1" minValue="710" maxValue="1058"/>
    </cacheField>
    <cacheField name=" Total - 2011" numFmtId="0">
      <sharedItems containsSemiMixedTypes="0" containsNonDate="0" containsString="0" containsNumber="1" containsInteger="1" minValue="618" maxValue="1084"/>
    </cacheField>
    <cacheField name=" Rural - 2001" numFmtId="0">
      <sharedItems containsSemiMixedTypes="0" containsNonDate="0" containsString="0" containsNumber="1" containsInteger="1" minValue="586" maxValue="1059"/>
    </cacheField>
    <cacheField name=" Rural - 2011" numFmtId="0">
      <sharedItems containsSemiMixedTypes="0" containsNonDate="0" containsString="0" containsNumber="1" containsInteger="1" minValue="690" maxValue="1078"/>
    </cacheField>
    <cacheField name="Urban - 2001" numFmtId="0">
      <sharedItems containsSemiMixedTypes="0" containsNonDate="0" containsString="0" containsNumber="1" containsInteger="1" minValue="691" maxValue="1058"/>
    </cacheField>
    <cacheField name="Urban - 2011" numFmtId="0">
      <sharedItems containsSemiMixedTypes="0" containsNonDate="0" containsString="0" containsNumber="1" containsInteger="1" minValue="551" maxValue="1091"/>
    </cacheField>
    <cacheField name="Net Difference" numFmtId="0" formula="' Total - 2011'-' Total - 2001'" databaseField="0"/>
    <cacheField name="ratio-2001" numFmtId="0" formula="' Rural - 2001'/'Urban - 2001'" databaseField="0"/>
    <cacheField name="Ratio 2011" numFmtId="0" formula="' Rural - 2011'/'Urban - 2011'" databaseField="0"/>
    <cacheField name="ratio:2001/2011" numFmtId="0" formula="#NAME?/#NAME?" databaseField="0"/>
    <cacheField name="AVERAGE" numFmtId="0" formula="('ratio-2001'+'Ratio 2011')/2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yam jat" refreshedDate="43787.741592592603" createdVersion="6" refreshedVersion="6" minRefreshableVersion="3" recordCount="35" xr:uid="{00000000-000A-0000-FFFF-FFFF02000000}">
  <cacheSource type="worksheet">
    <worksheetSource name="Table4"/>
  </cacheSource>
  <cacheFields count="10">
    <cacheField name="Category" numFmtId="0">
      <sharedItems containsNonDate="0"/>
    </cacheField>
    <cacheField name="ZONES" numFmtId="0">
      <sharedItems containsNonDate="0"/>
    </cacheField>
    <cacheField name="Sub-category" numFmtId="0">
      <sharedItems count="35">
        <s v="Daman &amp; Diu"/>
        <s v="D &amp; N Haveli"/>
        <s v="Jammu &amp; Kashmir"/>
        <s v="Lakshadweep"/>
        <s v="Gujarat"/>
        <s v="Bihar"/>
        <s v="Uttarakhand"/>
        <s v="Chhattisgarh"/>
        <s v="Himachal Pradesh"/>
        <s v="Odisha"/>
        <s v="Maharashtra"/>
        <s v="Rajasthan"/>
        <s v="Jharkhand"/>
        <s v="Manipur"/>
        <s v="Karnataka"/>
        <s v="Tamil Nadu"/>
        <s v="Goa"/>
        <s v="Tripura"/>
        <s v="Madhya Pradesh"/>
        <s v="Uttar Pradesh"/>
        <s v="Andhra Pradesh"/>
        <s v="Sikkim"/>
        <s v="West Bengal"/>
        <s v="Meghalaya"/>
        <s v="Haryana"/>
        <s v="Punjab"/>
        <s v="Assam"/>
        <s v="Kerala"/>
        <s v="A &amp; N Islands"/>
        <s v="Nagaland"/>
        <s v="Puducherry"/>
        <s v="Chandigarh"/>
        <s v="Mizoram"/>
        <s v="Arunachal Pradesh"/>
        <s v="NCT of Delhi"/>
      </sharedItems>
    </cacheField>
    <cacheField name=" Total - 2001" numFmtId="0">
      <sharedItems containsSemiMixedTypes="0" containsNonDate="0" containsString="0" containsNumber="1" containsInteger="1" minValue="710" maxValue="1058"/>
    </cacheField>
    <cacheField name=" Total - 2011" numFmtId="0">
      <sharedItems containsSemiMixedTypes="0" containsNonDate="0" containsString="0" containsNumber="1" containsInteger="1" minValue="618" maxValue="1084"/>
    </cacheField>
    <cacheField name="Difference" numFmtId="0">
      <sharedItems containsSemiMixedTypes="0" containsNonDate="0" containsString="0" containsNumber="1" containsInteger="1" minValue="-92" maxValue="47"/>
    </cacheField>
    <cacheField name="DGR -2001-11" numFmtId="0">
      <sharedItems containsSemiMixedTypes="0" containsNonDate="0" containsString="0" containsNumber="1" minValue="-0.6" maxValue="55.9"/>
    </cacheField>
    <cacheField name="RANK DIFF." numFmtId="0">
      <sharedItems containsSemiMixedTypes="0" containsNonDate="0" containsString="0" containsNumber="1" minValue="1" maxValue="35"/>
    </cacheField>
    <cacheField name="RANK DGR" numFmtId="0">
      <sharedItems containsSemiMixedTypes="0" containsNonDate="0" containsString="0" containsNumber="1" containsInteger="1" minValue="1" maxValue="35"/>
    </cacheField>
    <cacheField name="(RANK DGR-RANK DIFF.)^2" numFmtId="0">
      <sharedItems containsSemiMixedTypes="0" containsNonDate="0" containsString="0" containsNumber="1" minValue="1" maxValue="10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yam jat" refreshedDate="43787.757495138903" createdVersion="6" refreshedVersion="6" minRefreshableVersion="3" recordCount="36" xr:uid="{00000000-000A-0000-FFFF-FFFF03000000}">
  <cacheSource type="worksheet">
    <worksheetSource name="Literacy_rate"/>
  </cacheSource>
  <cacheFields count="4">
    <cacheField name="Category" numFmtId="0">
      <sharedItems containsSemiMixedTypes="0" containsNonDate="0" containsString="0"/>
    </cacheField>
    <cacheField name="Sub-category" numFmtId="0">
      <sharedItems count="36">
        <s v="INDIA"/>
        <s v="Andhra Pradesh"/>
        <s v="Arunachal Pradesh"/>
        <s v="Assam"/>
        <s v="Bihar"/>
        <s v="Chhattisgarh"/>
        <s v="Goa"/>
        <s v="Gujarat"/>
        <s v="Haryana"/>
        <s v="Himachal Pradesh"/>
        <s v="Jammu &amp; Kashmir"/>
        <s v="Jharkhand"/>
        <s v="Karnataka"/>
        <s v="Kerala"/>
        <s v="Madhya Pradesh"/>
        <s v="Maharashtra"/>
        <s v="Manipur"/>
        <s v="Meghalaya"/>
        <s v="Mizoram"/>
        <s v="Nagaland"/>
        <s v="Odisha"/>
        <s v="Punjab"/>
        <s v="Rajasthan"/>
        <s v="Sikkim"/>
        <s v="Tamil Nadu"/>
        <s v="Tripura"/>
        <s v="Uttar Pradesh"/>
        <s v="Uttarakhand"/>
        <s v="West Bengal"/>
        <s v="A &amp; N Islands"/>
        <s v="Chandigarh"/>
        <s v="D &amp; N Haveli"/>
        <s v="Daman &amp; Diu"/>
        <s v="Lakshadweep"/>
        <s v="NCT of Delhi"/>
        <s v="Puducherry"/>
      </sharedItems>
    </cacheField>
    <cacheField name="Literacy Rate-2001" numFmtId="0">
      <sharedItems containsSemiMixedTypes="0" containsNonDate="0" containsString="0"/>
    </cacheField>
    <cacheField name="Literacy Rate-2011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riya" refreshedDate="43787.988807870403" createdVersion="5" refreshedVersion="5" minRefreshableVersion="3" recordCount="36" xr:uid="{00000000-000A-0000-FFFF-FFFF04000000}">
  <cacheSource type="worksheet">
    <worksheetSource name="CSR"/>
  </cacheSource>
  <cacheFields count="10">
    <cacheField name="Category" numFmtId="0">
      <sharedItems count="3">
        <s v="Country"/>
        <s v="State"/>
        <s v="Union Territory"/>
      </sharedItems>
    </cacheField>
    <cacheField name="Sub-category" numFmtId="0">
      <sharedItems count="36">
        <s v="INDIA"/>
        <s v="Andhra Pradesh"/>
        <s v="Arunachal Pradesh"/>
        <s v="Assam"/>
        <s v="Bihar"/>
        <s v="Chhattisgarh"/>
        <s v="Goa"/>
        <s v="Gujarat"/>
        <s v="Haryana"/>
        <s v="Himachal Pradesh"/>
        <s v="Jammu &amp; Kashmir"/>
        <s v="Jharkhand"/>
        <s v="Karnataka"/>
        <s v="Kerala"/>
        <s v="Madhya Pradesh"/>
        <s v="Maharashtra"/>
        <s v="Manipur"/>
        <s v="Meghalaya"/>
        <s v="Mizoram"/>
        <s v="Nagaland"/>
        <s v="Odisha"/>
        <s v="Punjab"/>
        <s v="Rajasthan"/>
        <s v="Sikkim"/>
        <s v="Tamil Nadu"/>
        <s v="Tripura"/>
        <s v="Uttar Pradesh"/>
        <s v="Uttarakhand"/>
        <s v="West Bengal"/>
        <s v="A &amp; N Islands"/>
        <s v="Chandigarh"/>
        <s v="D &amp; N Haveli"/>
        <s v="Daman &amp; Diu"/>
        <s v="Lakshadweep"/>
        <s v="NCT of Delhi"/>
        <s v="Puducherry"/>
      </sharedItems>
    </cacheField>
    <cacheField name="CSR Total - 2001" numFmtId="0">
      <sharedItems containsSemiMixedTypes="0" containsString="0" containsNumber="1" containsInteger="1" minValue="798" maxValue="979" count="30">
        <n v="927"/>
        <n v="961"/>
        <n v="964"/>
        <n v="965"/>
        <n v="942"/>
        <n v="975"/>
        <n v="938"/>
        <n v="883"/>
        <n v="819"/>
        <n v="896"/>
        <n v="941"/>
        <n v="946"/>
        <n v="960"/>
        <n v="932"/>
        <n v="913"/>
        <n v="957"/>
        <n v="973"/>
        <n v="953"/>
        <n v="798"/>
        <n v="909"/>
        <n v="963"/>
        <n v="966"/>
        <n v="916"/>
        <n v="908"/>
        <n v="845"/>
        <n v="979"/>
        <n v="926"/>
        <n v="959"/>
        <n v="868"/>
        <n v="967"/>
      </sharedItems>
    </cacheField>
    <cacheField name="CSR Total - 2011" numFmtId="0">
      <sharedItems containsSemiMixedTypes="0" containsString="0" containsNumber="1" containsInteger="1" minValue="834" maxValue="972" count="30">
        <n v="918"/>
        <n v="939"/>
        <n v="972"/>
        <n v="962"/>
        <n v="935"/>
        <n v="969"/>
        <n v="942"/>
        <n v="890"/>
        <n v="834"/>
        <n v="909"/>
        <n v="862"/>
        <n v="948"/>
        <n v="964"/>
        <n v="894"/>
        <n v="930"/>
        <n v="970"/>
        <n v="943"/>
        <n v="941"/>
        <n v="846"/>
        <n v="888"/>
        <n v="957"/>
        <n v="902"/>
        <n v="956"/>
        <n v="968"/>
        <n v="880"/>
        <n v="926"/>
        <n v="904"/>
        <n v="911"/>
        <n v="871"/>
        <n v="967"/>
      </sharedItems>
    </cacheField>
    <cacheField name="CSR Rural - 2001" numFmtId="0">
      <sharedItems containsSemiMixedTypes="0" containsString="0" containsNumber="1" containsInteger="1" minValue="799" maxValue="1003" count="31">
        <n v="934"/>
        <n v="963"/>
        <n v="960"/>
        <n v="967"/>
        <n v="944"/>
        <n v="982"/>
        <n v="952"/>
        <n v="906"/>
        <n v="823"/>
        <n v="900"/>
        <n v="957"/>
        <n v="973"/>
        <n v="949"/>
        <n v="961"/>
        <n v="939"/>
        <n v="916"/>
        <n v="956"/>
        <n v="965"/>
        <n v="969"/>
        <n v="955"/>
        <n v="799"/>
        <n v="914"/>
        <n v="966"/>
        <n v="933"/>
        <n v="968"/>
        <n v="921"/>
        <n v="918"/>
        <n v="847"/>
        <n v="1003"/>
        <n v="999"/>
        <n v="850"/>
      </sharedItems>
    </cacheField>
    <cacheField name="CSR Rural - 2011" numFmtId="0">
      <sharedItems containsSemiMixedTypes="0" containsString="0" containsNumber="1" containsInteger="1" minValue="814" maxValue="977" count="33">
        <n v="923"/>
        <n v="941"/>
        <n v="975"/>
        <n v="964"/>
        <n v="938"/>
        <n v="977"/>
        <n v="945"/>
        <n v="914"/>
        <n v="835"/>
        <n v="912"/>
        <n v="865"/>
        <n v="957"/>
        <n v="950"/>
        <n v="965"/>
        <n v="890"/>
        <n v="972"/>
        <n v="966"/>
        <n v="933"/>
        <n v="946"/>
        <n v="844"/>
        <n v="892"/>
        <n v="936"/>
        <n v="960"/>
        <n v="906"/>
        <n v="899"/>
        <n v="959"/>
        <n v="976"/>
        <n v="871"/>
        <n v="970"/>
        <n v="932"/>
        <n v="911"/>
        <n v="814"/>
        <n v="953"/>
      </sharedItems>
    </cacheField>
    <cacheField name="CSR Urban - 2001" numFmtId="0">
      <sharedItems containsSemiMixedTypes="0" containsString="0" containsNumber="1" containsInteger="1" minValue="796" maxValue="980" count="32">
        <n v="906"/>
        <n v="955"/>
        <n v="980"/>
        <n v="943"/>
        <n v="924"/>
        <n v="938"/>
        <n v="837"/>
        <n v="808"/>
        <n v="844"/>
        <n v="873"/>
        <n v="930"/>
        <n v="940"/>
        <n v="958"/>
        <n v="907"/>
        <n v="908"/>
        <n v="961"/>
        <n v="969"/>
        <n v="963"/>
        <n v="939"/>
        <n v="933"/>
        <n v="796"/>
        <n v="887"/>
        <n v="922"/>
        <n v="948"/>
        <n v="890"/>
        <n v="872"/>
        <n v="936"/>
        <n v="845"/>
        <n v="888"/>
        <n v="900"/>
        <n v="870"/>
        <n v="967"/>
      </sharedItems>
    </cacheField>
    <cacheField name="CSR Urban - 2011" numFmtId="0">
      <sharedItems containsSemiMixedTypes="0" containsString="0" containsNumber="1" containsInteger="1" minValue="832" maxValue="975" count="33">
        <n v="905"/>
        <n v="935"/>
        <n v="957"/>
        <n v="944"/>
        <n v="912"/>
        <n v="937"/>
        <n v="940"/>
        <n v="852"/>
        <n v="832"/>
        <n v="881"/>
        <n v="850"/>
        <n v="908"/>
        <n v="946"/>
        <n v="963"/>
        <n v="901"/>
        <n v="899"/>
        <n v="949"/>
        <n v="954"/>
        <n v="974"/>
        <n v="973"/>
        <n v="913"/>
        <n v="874"/>
        <n v="934"/>
        <n v="952"/>
        <n v="947"/>
        <n v="885"/>
        <n v="868"/>
        <n v="880"/>
        <n v="872"/>
        <n v="894"/>
        <n v="911"/>
        <n v="873"/>
        <n v="975"/>
      </sharedItems>
    </cacheField>
    <cacheField name="% CHANGE From SR-2011" numFmtId="0">
      <sharedItems containsSemiMixedTypes="0" containsString="0" containsNumber="1" minValue="0" maxValue="31.6" count="31">
        <n v="2.7"/>
        <n v="5.8"/>
        <n v="3.5"/>
        <n v="0.4"/>
        <n v="1.8"/>
        <n v="2.2999999999999998"/>
        <n v="3.3"/>
        <n v="5.4"/>
        <n v="6.9"/>
        <n v="3.1"/>
        <n v="0"/>
        <n v="2.6"/>
        <n v="12.4"/>
        <n v="1.4"/>
        <n v="3.9"/>
        <n v="5.9"/>
        <n v="2"/>
        <n v="0.6"/>
        <n v="1.3"/>
        <n v="4"/>
        <n v="4.5"/>
        <n v="7"/>
        <n v="5.6"/>
        <n v="0.3"/>
        <n v="1.1000000000000001"/>
        <n v="8.1999999999999993"/>
        <n v="9.5"/>
        <n v="16.399999999999999"/>
        <n v="31.6"/>
        <n v="3.8"/>
        <n v="7.2"/>
      </sharedItems>
    </cacheField>
    <cacheField name="% CHANGE FROM SR-2001" numFmtId="0">
      <sharedItems containsSemiMixedTypes="0" containsString="0" containsNumber="1" minValue="0.1" maxValue="23.3" count="31">
        <n v="0.6"/>
        <n v="1.8"/>
        <n v="7.4"/>
        <n v="3.1"/>
        <n v="2.4"/>
        <n v="1.4"/>
        <n v="2.5"/>
        <n v="4.2"/>
        <n v="5.0999999999999996"/>
        <n v="8"/>
        <n v="5.2"/>
        <n v="2"/>
        <n v="10.199999999999999"/>
        <n v="1"/>
        <n v="2.2000000000000002"/>
        <n v="0.1"/>
        <n v="3"/>
        <n v="6.6"/>
        <n v="9.8000000000000007"/>
        <n v="1.3"/>
        <n v="9.1"/>
        <n v="4.8"/>
        <n v="1.9"/>
        <n v="5.9"/>
        <n v="2.7"/>
        <n v="11.6"/>
        <n v="17.100000000000001"/>
        <n v="23.3"/>
        <n v="1.1000000000000001"/>
        <n v="5.4"/>
        <n v="3.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yam jat" refreshedDate="43788.050953935184" createdVersion="6" refreshedVersion="6" minRefreshableVersion="3" recordCount="36" xr:uid="{12712575-62AF-4F49-A5BE-402341E579B1}">
  <cacheSource type="worksheet">
    <worksheetSource name="Table6"/>
  </cacheSource>
  <cacheFields count="3">
    <cacheField name="RATIO OF RURAL TO URBAN(2001)" numFmtId="0">
      <sharedItems containsString="0" containsBlank="1" containsNumber="1" minValue="0.59552845528455289" maxValue="1.2440251572327043"/>
    </cacheField>
    <cacheField name="RATIO OF RURAL TO URBAN(2011)" numFmtId="0">
      <sharedItems containsString="0" containsBlank="1" containsNumber="1" minValue="0.83941605839416056" maxValue="1.5680580762250453"/>
    </cacheField>
    <cacheField name="Sub-category" numFmtId="0">
      <sharedItems containsBlank="1" count="36">
        <m/>
        <s v="Andhra Pradesh"/>
        <s v="Arunachal Pradesh"/>
        <s v="Assam"/>
        <s v="Bihar"/>
        <s v="Chhattisgarh"/>
        <s v="Goa"/>
        <s v="Gujarat"/>
        <s v="Haryana"/>
        <s v="Himachal Pradesh"/>
        <s v="Jammu &amp; Kashmir"/>
        <s v="Jharkhand"/>
        <s v="Karnataka"/>
        <s v="Kerala"/>
        <s v="Madhya Pradesh"/>
        <s v="Maharashtra"/>
        <s v="Manipur"/>
        <s v="Meghalaya"/>
        <s v="Mizoram"/>
        <s v="Nagaland"/>
        <s v="Odisha"/>
        <s v="Punjab"/>
        <s v="Rajasthan"/>
        <s v="Sikkim"/>
        <s v="Tamil Nadu"/>
        <s v="Tripura"/>
        <s v="Uttar Pradesh"/>
        <s v="Uttarakhand"/>
        <s v="West Bengal"/>
        <s v="A &amp; N Islands"/>
        <s v="Chandigarh"/>
        <s v="D &amp; N Haveli"/>
        <s v="Daman &amp; Diu"/>
        <s v="Lakshadweep"/>
        <s v="NCT of Delhi"/>
        <s v="Puducherr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s v="Daman &amp; Diu"/>
    <n v="710"/>
    <n v="618"/>
    <n v="-92"/>
    <n v="53.8"/>
    <n v="35"/>
    <n v="2"/>
    <n v="1089"/>
  </r>
  <r>
    <s v="D &amp; N Haveli"/>
    <n v="812"/>
    <n v="774"/>
    <n v="-38"/>
    <n v="55.9"/>
    <n v="34"/>
    <n v="1"/>
    <n v="1089"/>
  </r>
  <r>
    <s v="Jammu &amp; Kashmir"/>
    <n v="892"/>
    <n v="889"/>
    <n v="-3"/>
    <n v="23.6"/>
    <n v="33"/>
    <n v="8"/>
    <n v="625"/>
  </r>
  <r>
    <s v="Lakshadweep"/>
    <n v="948"/>
    <n v="946"/>
    <n v="-2"/>
    <n v="6.3"/>
    <n v="32"/>
    <n v="33"/>
    <n v="1"/>
  </r>
  <r>
    <s v="Gujarat"/>
    <n v="920"/>
    <n v="919"/>
    <n v="-1"/>
    <n v="19.3"/>
    <n v="31.5"/>
    <n v="17"/>
    <n v="210.25"/>
  </r>
  <r>
    <s v="Bihar"/>
    <n v="919"/>
    <n v="918"/>
    <n v="-1"/>
    <n v="25.4"/>
    <n v="31.5"/>
    <n v="6"/>
    <n v="650.25"/>
  </r>
  <r>
    <s v="Uttarakhand"/>
    <n v="962"/>
    <n v="963"/>
    <n v="1"/>
    <n v="18.8"/>
    <n v="29"/>
    <n v="18"/>
    <n v="121"/>
  </r>
  <r>
    <s v="Chhattisgarh"/>
    <n v="989"/>
    <n v="991"/>
    <n v="2"/>
    <n v="22.6"/>
    <n v="28"/>
    <n v="10"/>
    <n v="324"/>
  </r>
  <r>
    <s v="Himachal Pradesh"/>
    <n v="968"/>
    <n v="972"/>
    <n v="4"/>
    <n v="12.9"/>
    <n v="27"/>
    <n v="29.5"/>
    <n v="6.25"/>
  </r>
  <r>
    <s v="Odisha"/>
    <n v="972"/>
    <n v="979"/>
    <n v="7"/>
    <n v="14"/>
    <n v="25"/>
    <n v="25"/>
    <n v="0"/>
  </r>
  <r>
    <s v="Maharashtra"/>
    <n v="922"/>
    <n v="929"/>
    <n v="7"/>
    <n v="16"/>
    <n v="25"/>
    <n v="21"/>
    <n v="16"/>
  </r>
  <r>
    <s v="Rajasthan"/>
    <n v="921"/>
    <n v="928"/>
    <n v="7"/>
    <n v="21.3"/>
    <n v="25"/>
    <n v="12"/>
    <n v="169"/>
  </r>
  <r>
    <s v="Jharkhand"/>
    <n v="941"/>
    <n v="948"/>
    <n v="7"/>
    <n v="22.4"/>
    <n v="25"/>
    <n v="11"/>
    <n v="196"/>
  </r>
  <r>
    <s v="Manipur"/>
    <n v="978"/>
    <n v="985"/>
    <n v="7"/>
    <n v="24.5"/>
    <n v="25"/>
    <n v="7"/>
    <n v="324"/>
  </r>
  <r>
    <s v="Karnataka"/>
    <n v="965"/>
    <n v="973"/>
    <n v="8"/>
    <n v="15.6"/>
    <n v="21"/>
    <n v="23.5"/>
    <n v="6.25"/>
  </r>
  <r>
    <s v="Tamil Nadu"/>
    <n v="987"/>
    <n v="996"/>
    <n v="9"/>
    <n v="15.6"/>
    <n v="20"/>
    <n v="23.5"/>
    <n v="12.25"/>
  </r>
  <r>
    <s v="Goa"/>
    <n v="961"/>
    <n v="973"/>
    <n v="12"/>
    <n v="8.1999999999999993"/>
    <n v="19"/>
    <n v="31"/>
    <n v="144"/>
  </r>
  <r>
    <s v="Tripura"/>
    <n v="948"/>
    <n v="960"/>
    <n v="12"/>
    <n v="14.8"/>
    <n v="19"/>
    <n v="24"/>
    <n v="25"/>
  </r>
  <r>
    <s v="Madhya Pradesh"/>
    <n v="919"/>
    <n v="931"/>
    <n v="12"/>
    <n v="20.3"/>
    <n v="19"/>
    <n v="14"/>
    <n v="25"/>
  </r>
  <r>
    <s v="Uttar Pradesh"/>
    <n v="898"/>
    <n v="912"/>
    <n v="14"/>
    <n v="20.2"/>
    <n v="16"/>
    <n v="15"/>
    <n v="1"/>
  </r>
  <r>
    <s v="Andhra Pradesh"/>
    <n v="978"/>
    <n v="993"/>
    <n v="15"/>
    <n v="11"/>
    <n v="15.5"/>
    <n v="30"/>
    <n v="210.25"/>
  </r>
  <r>
    <s v="Sikkim"/>
    <n v="875"/>
    <n v="890"/>
    <n v="15"/>
    <n v="12.9"/>
    <n v="15.5"/>
    <n v="29.5"/>
    <n v="196"/>
  </r>
  <r>
    <s v="West Bengal"/>
    <n v="934"/>
    <n v="950"/>
    <n v="16"/>
    <n v="13.8"/>
    <n v="13"/>
    <n v="27"/>
    <n v="196"/>
  </r>
  <r>
    <s v="Meghalaya"/>
    <n v="972"/>
    <n v="989"/>
    <n v="17"/>
    <n v="27.9"/>
    <n v="12"/>
    <n v="4"/>
    <n v="64"/>
  </r>
  <r>
    <s v="Haryana"/>
    <n v="861"/>
    <n v="879"/>
    <n v="18"/>
    <n v="19.899999999999999"/>
    <n v="11"/>
    <n v="16"/>
    <n v="25"/>
  </r>
  <r>
    <s v="Punjab"/>
    <n v="876"/>
    <n v="895"/>
    <n v="19"/>
    <n v="13.9"/>
    <n v="10"/>
    <n v="26"/>
    <n v="256"/>
  </r>
  <r>
    <s v="Assam"/>
    <n v="935"/>
    <n v="958"/>
    <n v="23"/>
    <n v="17.100000000000001"/>
    <n v="9"/>
    <n v="20"/>
    <n v="121"/>
  </r>
  <r>
    <s v="Kerala"/>
    <n v="1058"/>
    <n v="1084"/>
    <n v="26"/>
    <n v="4.9000000000000004"/>
    <n v="8"/>
    <n v="34"/>
    <n v="676"/>
  </r>
  <r>
    <s v="A &amp; N Islands"/>
    <n v="846"/>
    <n v="876"/>
    <n v="30"/>
    <n v="6.9"/>
    <n v="7"/>
    <n v="32"/>
    <n v="625"/>
  </r>
  <r>
    <s v="Nagaland"/>
    <n v="900"/>
    <n v="931"/>
    <n v="31"/>
    <n v="-0.6"/>
    <n v="6"/>
    <n v="35"/>
    <n v="841"/>
  </r>
  <r>
    <s v="Puducherry"/>
    <n v="1001"/>
    <n v="1037"/>
    <n v="36"/>
    <n v="28.1"/>
    <n v="5"/>
    <n v="3"/>
    <n v="4"/>
  </r>
  <r>
    <s v="Chandigarh"/>
    <n v="777"/>
    <n v="818"/>
    <n v="41"/>
    <n v="17.2"/>
    <n v="4.5"/>
    <n v="19"/>
    <n v="210.25"/>
  </r>
  <r>
    <s v="Mizoram"/>
    <n v="935"/>
    <n v="976"/>
    <n v="41"/>
    <n v="23.5"/>
    <n v="4.5"/>
    <n v="9"/>
    <n v="20.25"/>
  </r>
  <r>
    <s v="Arunachal Pradesh"/>
    <n v="893"/>
    <n v="938"/>
    <n v="45"/>
    <n v="26"/>
    <n v="2"/>
    <n v="5"/>
    <n v="9"/>
  </r>
  <r>
    <s v="NCT of Delhi"/>
    <n v="821"/>
    <n v="868"/>
    <n v="47"/>
    <n v="21.2"/>
    <n v="1"/>
    <n v="13"/>
    <n v="14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x v="0"/>
    <n v="933"/>
    <n v="943"/>
    <n v="946"/>
    <n v="949"/>
    <n v="900"/>
    <n v="929"/>
  </r>
  <r>
    <x v="1"/>
    <x v="1"/>
    <x v="1"/>
    <n v="978"/>
    <n v="993"/>
    <n v="983"/>
    <n v="996"/>
    <n v="965"/>
    <n v="987"/>
  </r>
  <r>
    <x v="1"/>
    <x v="2"/>
    <x v="2"/>
    <n v="893"/>
    <n v="938"/>
    <n v="914"/>
    <n v="953"/>
    <n v="819"/>
    <n v="890"/>
  </r>
  <r>
    <x v="1"/>
    <x v="2"/>
    <x v="3"/>
    <n v="935"/>
    <n v="958"/>
    <n v="944"/>
    <n v="960"/>
    <n v="872"/>
    <n v="946"/>
  </r>
  <r>
    <x v="1"/>
    <x v="3"/>
    <x v="4"/>
    <n v="919"/>
    <n v="918"/>
    <n v="926"/>
    <n v="921"/>
    <n v="868"/>
    <n v="895"/>
  </r>
  <r>
    <x v="1"/>
    <x v="4"/>
    <x v="5"/>
    <n v="989"/>
    <n v="991"/>
    <n v="1004"/>
    <n v="1001"/>
    <n v="932"/>
    <n v="956"/>
  </r>
  <r>
    <x v="1"/>
    <x v="5"/>
    <x v="6"/>
    <n v="961"/>
    <n v="973"/>
    <n v="988"/>
    <n v="1003"/>
    <n v="934"/>
    <n v="956"/>
  </r>
  <r>
    <x v="1"/>
    <x v="5"/>
    <x v="7"/>
    <n v="920"/>
    <n v="919"/>
    <n v="945"/>
    <n v="949"/>
    <n v="880"/>
    <n v="880"/>
  </r>
  <r>
    <x v="1"/>
    <x v="6"/>
    <x v="8"/>
    <n v="861"/>
    <n v="879"/>
    <n v="866"/>
    <n v="882"/>
    <n v="847"/>
    <n v="873"/>
  </r>
  <r>
    <x v="1"/>
    <x v="6"/>
    <x v="9"/>
    <n v="968"/>
    <n v="972"/>
    <n v="989"/>
    <n v="986"/>
    <n v="795"/>
    <n v="853"/>
  </r>
  <r>
    <x v="1"/>
    <x v="6"/>
    <x v="10"/>
    <n v="892"/>
    <n v="889"/>
    <n v="917"/>
    <n v="908"/>
    <n v="819"/>
    <n v="840"/>
  </r>
  <r>
    <x v="1"/>
    <x v="3"/>
    <x v="11"/>
    <n v="941"/>
    <n v="948"/>
    <n v="962"/>
    <n v="961"/>
    <n v="870"/>
    <n v="910"/>
  </r>
  <r>
    <x v="1"/>
    <x v="1"/>
    <x v="12"/>
    <n v="965"/>
    <n v="973"/>
    <n v="977"/>
    <n v="979"/>
    <n v="942"/>
    <n v="963"/>
  </r>
  <r>
    <x v="1"/>
    <x v="1"/>
    <x v="13"/>
    <n v="1058"/>
    <n v="1084"/>
    <n v="1059"/>
    <n v="1078"/>
    <n v="1058"/>
    <n v="1091"/>
  </r>
  <r>
    <x v="1"/>
    <x v="4"/>
    <x v="14"/>
    <n v="919"/>
    <n v="931"/>
    <n v="927"/>
    <n v="936"/>
    <n v="898"/>
    <n v="918"/>
  </r>
  <r>
    <x v="1"/>
    <x v="5"/>
    <x v="15"/>
    <n v="922"/>
    <n v="929"/>
    <n v="960"/>
    <n v="952"/>
    <n v="873"/>
    <n v="903"/>
  </r>
  <r>
    <x v="1"/>
    <x v="2"/>
    <x v="16"/>
    <n v="978"/>
    <n v="985"/>
    <n v="967"/>
    <n v="969"/>
    <n v="1009"/>
    <n v="1026"/>
  </r>
  <r>
    <x v="1"/>
    <x v="2"/>
    <x v="17"/>
    <n v="972"/>
    <n v="989"/>
    <n v="969"/>
    <n v="986"/>
    <n v="982"/>
    <n v="1001"/>
  </r>
  <r>
    <x v="1"/>
    <x v="2"/>
    <x v="18"/>
    <n v="935"/>
    <n v="976"/>
    <n v="923"/>
    <n v="952"/>
    <n v="948"/>
    <n v="998"/>
  </r>
  <r>
    <x v="1"/>
    <x v="2"/>
    <x v="19"/>
    <n v="900"/>
    <n v="931"/>
    <n v="916"/>
    <n v="940"/>
    <n v="829"/>
    <n v="908"/>
  </r>
  <r>
    <x v="1"/>
    <x v="3"/>
    <x v="20"/>
    <n v="972"/>
    <n v="979"/>
    <n v="987"/>
    <n v="989"/>
    <n v="895"/>
    <n v="932"/>
  </r>
  <r>
    <x v="1"/>
    <x v="6"/>
    <x v="21"/>
    <n v="876"/>
    <n v="895"/>
    <n v="890"/>
    <n v="907"/>
    <n v="849"/>
    <n v="875"/>
  </r>
  <r>
    <x v="1"/>
    <x v="5"/>
    <x v="22"/>
    <n v="921"/>
    <n v="928"/>
    <n v="930"/>
    <n v="933"/>
    <n v="890"/>
    <n v="914"/>
  </r>
  <r>
    <x v="1"/>
    <x v="2"/>
    <x v="23"/>
    <n v="875"/>
    <n v="890"/>
    <n v="880"/>
    <n v="882"/>
    <n v="830"/>
    <n v="913"/>
  </r>
  <r>
    <x v="1"/>
    <x v="1"/>
    <x v="24"/>
    <n v="987"/>
    <n v="996"/>
    <n v="992"/>
    <n v="993"/>
    <n v="982"/>
    <n v="1000"/>
  </r>
  <r>
    <x v="1"/>
    <x v="2"/>
    <x v="25"/>
    <n v="948"/>
    <n v="960"/>
    <n v="946"/>
    <n v="955"/>
    <n v="959"/>
    <n v="973"/>
  </r>
  <r>
    <x v="1"/>
    <x v="6"/>
    <x v="26"/>
    <n v="898"/>
    <n v="912"/>
    <n v="904"/>
    <n v="918"/>
    <n v="876"/>
    <n v="894"/>
  </r>
  <r>
    <x v="1"/>
    <x v="6"/>
    <x v="27"/>
    <n v="962"/>
    <n v="963"/>
    <n v="1007"/>
    <n v="1000"/>
    <n v="845"/>
    <n v="884"/>
  </r>
  <r>
    <x v="1"/>
    <x v="3"/>
    <x v="28"/>
    <n v="934"/>
    <n v="950"/>
    <n v="950"/>
    <n v="953"/>
    <n v="893"/>
    <n v="944"/>
  </r>
  <r>
    <x v="2"/>
    <x v="7"/>
    <x v="29"/>
    <n v="846"/>
    <n v="876"/>
    <n v="861"/>
    <n v="877"/>
    <n v="815"/>
    <n v="874"/>
  </r>
  <r>
    <x v="2"/>
    <x v="7"/>
    <x v="30"/>
    <n v="777"/>
    <n v="818"/>
    <n v="621"/>
    <n v="690"/>
    <n v="796"/>
    <n v="822"/>
  </r>
  <r>
    <x v="2"/>
    <x v="7"/>
    <x v="31"/>
    <n v="812"/>
    <n v="774"/>
    <n v="852"/>
    <n v="863"/>
    <n v="691"/>
    <n v="682"/>
  </r>
  <r>
    <x v="2"/>
    <x v="7"/>
    <x v="32"/>
    <n v="710"/>
    <n v="618"/>
    <n v="586"/>
    <n v="864"/>
    <n v="984"/>
    <n v="551"/>
  </r>
  <r>
    <x v="2"/>
    <x v="7"/>
    <x v="33"/>
    <n v="948"/>
    <n v="946"/>
    <n v="959"/>
    <n v="952"/>
    <n v="935"/>
    <n v="945"/>
  </r>
  <r>
    <x v="2"/>
    <x v="7"/>
    <x v="34"/>
    <n v="821"/>
    <n v="868"/>
    <n v="810"/>
    <n v="852"/>
    <n v="822"/>
    <n v="868"/>
  </r>
  <r>
    <x v="2"/>
    <x v="7"/>
    <x v="35"/>
    <n v="1001"/>
    <n v="1037"/>
    <n v="990"/>
    <n v="1028"/>
    <n v="1007"/>
    <n v="104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s v="Union Territory"/>
    <s v="U.T."/>
    <x v="0"/>
    <n v="710"/>
    <n v="618"/>
    <n v="-92"/>
    <n v="53.8"/>
    <n v="35"/>
    <n v="2"/>
    <n v="1089"/>
  </r>
  <r>
    <s v="Union Territory"/>
    <s v="U.T."/>
    <x v="1"/>
    <n v="812"/>
    <n v="774"/>
    <n v="-38"/>
    <n v="55.9"/>
    <n v="34"/>
    <n v="1"/>
    <n v="1089"/>
  </r>
  <r>
    <s v="State"/>
    <s v="North"/>
    <x v="2"/>
    <n v="892"/>
    <n v="889"/>
    <n v="-3"/>
    <n v="23.6"/>
    <n v="33"/>
    <n v="8"/>
    <n v="625"/>
  </r>
  <r>
    <s v="Union Territory"/>
    <s v="U.T."/>
    <x v="3"/>
    <n v="948"/>
    <n v="946"/>
    <n v="-2"/>
    <n v="6.3"/>
    <n v="32"/>
    <n v="33"/>
    <n v="1"/>
  </r>
  <r>
    <s v="State"/>
    <s v="West"/>
    <x v="4"/>
    <n v="920"/>
    <n v="919"/>
    <n v="-1"/>
    <n v="19.3"/>
    <n v="31.5"/>
    <n v="17"/>
    <n v="210.25"/>
  </r>
  <r>
    <s v="State"/>
    <s v="East"/>
    <x v="5"/>
    <n v="919"/>
    <n v="918"/>
    <n v="-1"/>
    <n v="25.4"/>
    <n v="30"/>
    <n v="6"/>
    <n v="576"/>
  </r>
  <r>
    <s v="State"/>
    <s v="North"/>
    <x v="6"/>
    <n v="962"/>
    <n v="963"/>
    <n v="1"/>
    <n v="18.8"/>
    <n v="29"/>
    <n v="18"/>
    <n v="121"/>
  </r>
  <r>
    <s v="State"/>
    <s v="Central"/>
    <x v="7"/>
    <n v="989"/>
    <n v="991"/>
    <n v="2"/>
    <n v="22.6"/>
    <n v="28"/>
    <n v="10"/>
    <n v="324"/>
  </r>
  <r>
    <s v="State"/>
    <s v="North"/>
    <x v="8"/>
    <n v="968"/>
    <n v="972"/>
    <n v="4"/>
    <n v="12.9"/>
    <n v="27"/>
    <n v="28"/>
    <n v="1"/>
  </r>
  <r>
    <s v="State"/>
    <s v="East"/>
    <x v="9"/>
    <n v="972"/>
    <n v="979"/>
    <n v="7"/>
    <n v="14"/>
    <n v="22"/>
    <n v="25"/>
    <n v="9"/>
  </r>
  <r>
    <s v="State"/>
    <s v="West"/>
    <x v="10"/>
    <n v="922"/>
    <n v="929"/>
    <n v="7"/>
    <n v="16"/>
    <n v="22"/>
    <n v="21"/>
    <n v="1"/>
  </r>
  <r>
    <s v="State"/>
    <s v="West"/>
    <x v="11"/>
    <n v="921"/>
    <n v="928"/>
    <n v="7"/>
    <n v="21.3"/>
    <n v="22"/>
    <n v="12"/>
    <n v="100"/>
  </r>
  <r>
    <s v="State"/>
    <s v="East"/>
    <x v="12"/>
    <n v="941"/>
    <n v="948"/>
    <n v="7"/>
    <n v="22.4"/>
    <n v="22"/>
    <n v="11"/>
    <n v="121"/>
  </r>
  <r>
    <s v="State"/>
    <s v="North East"/>
    <x v="13"/>
    <n v="978"/>
    <n v="985"/>
    <n v="7"/>
    <n v="24.5"/>
    <n v="22"/>
    <n v="7"/>
    <n v="225"/>
  </r>
  <r>
    <s v="State"/>
    <s v="South"/>
    <x v="14"/>
    <n v="965"/>
    <n v="973"/>
    <n v="8"/>
    <n v="15.6"/>
    <n v="21"/>
    <n v="22"/>
    <n v="1"/>
  </r>
  <r>
    <s v="State"/>
    <s v="South"/>
    <x v="15"/>
    <n v="987"/>
    <n v="996"/>
    <n v="9"/>
    <n v="15.6"/>
    <n v="20"/>
    <n v="22"/>
    <n v="4"/>
  </r>
  <r>
    <s v="State"/>
    <s v="West"/>
    <x v="16"/>
    <n v="961"/>
    <n v="973"/>
    <n v="12"/>
    <n v="8.1999999999999993"/>
    <n v="17"/>
    <n v="31"/>
    <n v="196"/>
  </r>
  <r>
    <s v="State"/>
    <s v="North East"/>
    <x v="17"/>
    <n v="948"/>
    <n v="960"/>
    <n v="12"/>
    <n v="14.8"/>
    <n v="17"/>
    <n v="24"/>
    <n v="49"/>
  </r>
  <r>
    <s v="State"/>
    <s v="Central"/>
    <x v="18"/>
    <n v="919"/>
    <n v="931"/>
    <n v="12"/>
    <n v="20.3"/>
    <n v="17"/>
    <n v="14"/>
    <n v="9"/>
  </r>
  <r>
    <s v="State"/>
    <s v="North"/>
    <x v="19"/>
    <n v="898"/>
    <n v="912"/>
    <n v="14"/>
    <n v="20.2"/>
    <n v="16"/>
    <n v="15"/>
    <n v="1"/>
  </r>
  <r>
    <s v="State"/>
    <s v="South"/>
    <x v="20"/>
    <n v="978"/>
    <n v="993"/>
    <n v="15"/>
    <n v="11"/>
    <n v="14"/>
    <n v="30"/>
    <n v="256"/>
  </r>
  <r>
    <s v="State"/>
    <s v="North East"/>
    <x v="21"/>
    <n v="875"/>
    <n v="890"/>
    <n v="15"/>
    <n v="12.9"/>
    <n v="14"/>
    <n v="28"/>
    <n v="196"/>
  </r>
  <r>
    <s v="State"/>
    <s v="East"/>
    <x v="22"/>
    <n v="934"/>
    <n v="950"/>
    <n v="16"/>
    <n v="13.8"/>
    <n v="13"/>
    <n v="27"/>
    <n v="196"/>
  </r>
  <r>
    <s v="State"/>
    <s v="North East"/>
    <x v="23"/>
    <n v="972"/>
    <n v="989"/>
    <n v="17"/>
    <n v="27.9"/>
    <n v="12"/>
    <n v="4"/>
    <n v="64"/>
  </r>
  <r>
    <s v="State"/>
    <s v="North"/>
    <x v="24"/>
    <n v="861"/>
    <n v="879"/>
    <n v="18"/>
    <n v="19.899999999999999"/>
    <n v="11"/>
    <n v="16"/>
    <n v="25"/>
  </r>
  <r>
    <s v="State"/>
    <s v="North"/>
    <x v="25"/>
    <n v="876"/>
    <n v="895"/>
    <n v="19"/>
    <n v="13.9"/>
    <n v="10"/>
    <n v="26"/>
    <n v="256"/>
  </r>
  <r>
    <s v="State"/>
    <s v="North East"/>
    <x v="26"/>
    <n v="935"/>
    <n v="958"/>
    <n v="23"/>
    <n v="17.100000000000001"/>
    <n v="9"/>
    <n v="20"/>
    <n v="121"/>
  </r>
  <r>
    <s v="State"/>
    <s v="South"/>
    <x v="27"/>
    <n v="1058"/>
    <n v="1084"/>
    <n v="26"/>
    <n v="4.9000000000000004"/>
    <n v="8"/>
    <n v="34"/>
    <n v="676"/>
  </r>
  <r>
    <s v="State"/>
    <s v="U.T."/>
    <x v="28"/>
    <n v="846"/>
    <n v="876"/>
    <n v="30"/>
    <n v="6.9"/>
    <n v="7"/>
    <n v="32"/>
    <n v="625"/>
  </r>
  <r>
    <s v="Union Territory"/>
    <s v="North East"/>
    <x v="29"/>
    <n v="900"/>
    <n v="931"/>
    <n v="31"/>
    <n v="-0.6"/>
    <n v="6"/>
    <n v="35"/>
    <n v="841"/>
  </r>
  <r>
    <s v="State"/>
    <s v="U.T."/>
    <x v="30"/>
    <n v="1001"/>
    <n v="1037"/>
    <n v="36"/>
    <n v="28.1"/>
    <n v="5"/>
    <n v="3"/>
    <n v="4"/>
  </r>
  <r>
    <s v="Union Territory"/>
    <s v="U.T."/>
    <x v="31"/>
    <n v="777"/>
    <n v="818"/>
    <n v="41"/>
    <n v="17.2"/>
    <n v="3"/>
    <n v="19"/>
    <n v="256"/>
  </r>
  <r>
    <s v="Union Territory"/>
    <s v="North East"/>
    <x v="32"/>
    <n v="935"/>
    <n v="976"/>
    <n v="41"/>
    <n v="23.5"/>
    <n v="3"/>
    <n v="9"/>
    <n v="36"/>
  </r>
  <r>
    <s v="State"/>
    <s v="North East"/>
    <x v="33"/>
    <n v="893"/>
    <n v="938"/>
    <n v="45"/>
    <n v="26"/>
    <n v="2"/>
    <n v="5"/>
    <n v="9"/>
  </r>
  <r>
    <s v="State"/>
    <s v="U.T."/>
    <x v="34"/>
    <n v="821"/>
    <n v="868"/>
    <n v="47"/>
    <n v="21.2"/>
    <n v="1"/>
    <n v="13"/>
    <n v="14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6">
  <r>
    <s v="Country"/>
    <x v="0"/>
    <n v="64.84"/>
    <n v="74.04"/>
  </r>
  <r>
    <s v="State"/>
    <x v="1"/>
    <n v="60.47"/>
    <n v="67.66"/>
  </r>
  <r>
    <s v="State"/>
    <x v="2"/>
    <n v="54.34"/>
    <n v="66.95"/>
  </r>
  <r>
    <s v="State"/>
    <x v="3"/>
    <n v="63.25"/>
    <n v="73.18"/>
  </r>
  <r>
    <s v="State"/>
    <x v="4"/>
    <n v="47"/>
    <n v="63.82"/>
  </r>
  <r>
    <s v="State"/>
    <x v="5"/>
    <n v="64.66"/>
    <n v="71.04"/>
  </r>
  <r>
    <s v="State"/>
    <x v="6"/>
    <n v="82.01"/>
    <n v="87.4"/>
  </r>
  <r>
    <s v="State"/>
    <x v="7"/>
    <n v="69.14"/>
    <n v="79.31"/>
  </r>
  <r>
    <s v="State"/>
    <x v="8"/>
    <n v="67.91"/>
    <n v="76.64"/>
  </r>
  <r>
    <s v="State"/>
    <x v="9"/>
    <n v="76.48"/>
    <n v="83.78"/>
  </r>
  <r>
    <s v="State"/>
    <x v="10"/>
    <n v="55.52"/>
    <n v="68.74"/>
  </r>
  <r>
    <s v="State"/>
    <x v="11"/>
    <n v="53.56"/>
    <n v="67.63"/>
  </r>
  <r>
    <s v="State"/>
    <x v="12"/>
    <n v="66.64"/>
    <n v="75.6"/>
  </r>
  <r>
    <s v="State"/>
    <x v="13"/>
    <n v="90.86"/>
    <n v="93.91"/>
  </r>
  <r>
    <s v="State"/>
    <x v="14"/>
    <n v="63.74"/>
    <n v="70.63"/>
  </r>
  <r>
    <s v="State"/>
    <x v="15"/>
    <n v="76.88"/>
    <n v="82.91"/>
  </r>
  <r>
    <s v="State"/>
    <x v="16"/>
    <n v="70.53"/>
    <n v="79.85"/>
  </r>
  <r>
    <s v="State"/>
    <x v="17"/>
    <n v="62.56"/>
    <n v="75.48"/>
  </r>
  <r>
    <s v="State"/>
    <x v="18"/>
    <n v="88.8"/>
    <n v="91.58"/>
  </r>
  <r>
    <s v="State"/>
    <x v="19"/>
    <n v="66.59"/>
    <n v="80.11"/>
  </r>
  <r>
    <s v="State"/>
    <x v="20"/>
    <n v="63.08"/>
    <n v="73.45"/>
  </r>
  <r>
    <s v="State"/>
    <x v="21"/>
    <n v="69.65"/>
    <n v="76.68"/>
  </r>
  <r>
    <s v="State"/>
    <x v="22"/>
    <n v="60.41"/>
    <n v="67.06"/>
  </r>
  <r>
    <s v="State"/>
    <x v="23"/>
    <n v="68.81"/>
    <n v="82.2"/>
  </r>
  <r>
    <s v="State"/>
    <x v="24"/>
    <n v="73.45"/>
    <n v="80.33"/>
  </r>
  <r>
    <s v="State"/>
    <x v="25"/>
    <n v="73.19"/>
    <n v="87.75"/>
  </r>
  <r>
    <s v="State"/>
    <x v="26"/>
    <n v="56.27"/>
    <n v="69.72"/>
  </r>
  <r>
    <s v="State"/>
    <x v="27"/>
    <n v="71.62"/>
    <n v="79.63"/>
  </r>
  <r>
    <s v="State"/>
    <x v="28"/>
    <n v="68.64"/>
    <n v="77.08"/>
  </r>
  <r>
    <s v="Union Territory"/>
    <x v="29"/>
    <n v="81.3"/>
    <n v="86.27"/>
  </r>
  <r>
    <s v="Union Territory"/>
    <x v="30"/>
    <n v="81.94"/>
    <n v="86.43"/>
  </r>
  <r>
    <s v="Union Territory"/>
    <x v="31"/>
    <n v="57.63"/>
    <n v="77.65"/>
  </r>
  <r>
    <s v="Union Territory"/>
    <x v="32"/>
    <n v="78.18"/>
    <n v="87.07"/>
  </r>
  <r>
    <s v="Union Territory"/>
    <x v="33"/>
    <n v="86.66"/>
    <n v="92.28"/>
  </r>
  <r>
    <s v="Union Territory"/>
    <x v="34"/>
    <n v="81.67"/>
    <n v="86.34"/>
  </r>
  <r>
    <s v="Union Territory"/>
    <x v="35"/>
    <n v="81.24"/>
    <n v="86.5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6">
  <r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1"/>
    <x v="1"/>
  </r>
  <r>
    <x v="1"/>
    <x v="2"/>
    <x v="2"/>
    <x v="2"/>
    <x v="2"/>
    <x v="2"/>
    <x v="2"/>
    <x v="2"/>
    <x v="2"/>
    <x v="2"/>
  </r>
  <r>
    <x v="1"/>
    <x v="3"/>
    <x v="3"/>
    <x v="3"/>
    <x v="3"/>
    <x v="3"/>
    <x v="3"/>
    <x v="3"/>
    <x v="3"/>
    <x v="3"/>
  </r>
  <r>
    <x v="1"/>
    <x v="4"/>
    <x v="4"/>
    <x v="4"/>
    <x v="4"/>
    <x v="4"/>
    <x v="4"/>
    <x v="4"/>
    <x v="4"/>
    <x v="4"/>
  </r>
  <r>
    <x v="1"/>
    <x v="5"/>
    <x v="5"/>
    <x v="5"/>
    <x v="5"/>
    <x v="5"/>
    <x v="5"/>
    <x v="5"/>
    <x v="5"/>
    <x v="5"/>
  </r>
  <r>
    <x v="1"/>
    <x v="6"/>
    <x v="6"/>
    <x v="6"/>
    <x v="6"/>
    <x v="6"/>
    <x v="4"/>
    <x v="6"/>
    <x v="6"/>
    <x v="6"/>
  </r>
  <r>
    <x v="1"/>
    <x v="7"/>
    <x v="7"/>
    <x v="7"/>
    <x v="7"/>
    <x v="7"/>
    <x v="6"/>
    <x v="7"/>
    <x v="6"/>
    <x v="7"/>
  </r>
  <r>
    <x v="1"/>
    <x v="8"/>
    <x v="8"/>
    <x v="8"/>
    <x v="8"/>
    <x v="8"/>
    <x v="7"/>
    <x v="8"/>
    <x v="7"/>
    <x v="8"/>
  </r>
  <r>
    <x v="1"/>
    <x v="9"/>
    <x v="9"/>
    <x v="9"/>
    <x v="9"/>
    <x v="9"/>
    <x v="8"/>
    <x v="9"/>
    <x v="8"/>
    <x v="9"/>
  </r>
  <r>
    <x v="1"/>
    <x v="10"/>
    <x v="10"/>
    <x v="10"/>
    <x v="10"/>
    <x v="10"/>
    <x v="9"/>
    <x v="10"/>
    <x v="9"/>
    <x v="10"/>
  </r>
  <r>
    <x v="1"/>
    <x v="11"/>
    <x v="3"/>
    <x v="11"/>
    <x v="11"/>
    <x v="11"/>
    <x v="10"/>
    <x v="11"/>
    <x v="10"/>
    <x v="6"/>
  </r>
  <r>
    <x v="1"/>
    <x v="12"/>
    <x v="11"/>
    <x v="11"/>
    <x v="12"/>
    <x v="12"/>
    <x v="11"/>
    <x v="12"/>
    <x v="11"/>
    <x v="11"/>
  </r>
  <r>
    <x v="1"/>
    <x v="13"/>
    <x v="12"/>
    <x v="12"/>
    <x v="13"/>
    <x v="13"/>
    <x v="12"/>
    <x v="13"/>
    <x v="12"/>
    <x v="12"/>
  </r>
  <r>
    <x v="1"/>
    <x v="14"/>
    <x v="13"/>
    <x v="0"/>
    <x v="14"/>
    <x v="0"/>
    <x v="13"/>
    <x v="14"/>
    <x v="13"/>
    <x v="5"/>
  </r>
  <r>
    <x v="1"/>
    <x v="15"/>
    <x v="14"/>
    <x v="13"/>
    <x v="15"/>
    <x v="14"/>
    <x v="14"/>
    <x v="15"/>
    <x v="14"/>
    <x v="13"/>
  </r>
  <r>
    <x v="1"/>
    <x v="16"/>
    <x v="15"/>
    <x v="14"/>
    <x v="16"/>
    <x v="0"/>
    <x v="15"/>
    <x v="16"/>
    <x v="15"/>
    <x v="14"/>
  </r>
  <r>
    <x v="1"/>
    <x v="17"/>
    <x v="16"/>
    <x v="15"/>
    <x v="11"/>
    <x v="15"/>
    <x v="16"/>
    <x v="17"/>
    <x v="16"/>
    <x v="15"/>
  </r>
  <r>
    <x v="1"/>
    <x v="18"/>
    <x v="2"/>
    <x v="15"/>
    <x v="17"/>
    <x v="16"/>
    <x v="17"/>
    <x v="18"/>
    <x v="17"/>
    <x v="16"/>
  </r>
  <r>
    <x v="1"/>
    <x v="19"/>
    <x v="2"/>
    <x v="16"/>
    <x v="18"/>
    <x v="17"/>
    <x v="18"/>
    <x v="19"/>
    <x v="18"/>
    <x v="17"/>
  </r>
  <r>
    <x v="1"/>
    <x v="20"/>
    <x v="17"/>
    <x v="17"/>
    <x v="19"/>
    <x v="18"/>
    <x v="19"/>
    <x v="20"/>
    <x v="19"/>
    <x v="11"/>
  </r>
  <r>
    <x v="1"/>
    <x v="21"/>
    <x v="18"/>
    <x v="18"/>
    <x v="20"/>
    <x v="19"/>
    <x v="20"/>
    <x v="7"/>
    <x v="1"/>
    <x v="18"/>
  </r>
  <r>
    <x v="1"/>
    <x v="22"/>
    <x v="19"/>
    <x v="19"/>
    <x v="21"/>
    <x v="20"/>
    <x v="21"/>
    <x v="21"/>
    <x v="20"/>
    <x v="19"/>
  </r>
  <r>
    <x v="1"/>
    <x v="23"/>
    <x v="20"/>
    <x v="20"/>
    <x v="22"/>
    <x v="3"/>
    <x v="22"/>
    <x v="22"/>
    <x v="21"/>
    <x v="20"/>
  </r>
  <r>
    <x v="1"/>
    <x v="24"/>
    <x v="4"/>
    <x v="16"/>
    <x v="23"/>
    <x v="21"/>
    <x v="1"/>
    <x v="23"/>
    <x v="22"/>
    <x v="21"/>
  </r>
  <r>
    <x v="1"/>
    <x v="25"/>
    <x v="21"/>
    <x v="20"/>
    <x v="24"/>
    <x v="22"/>
    <x v="23"/>
    <x v="24"/>
    <x v="23"/>
    <x v="22"/>
  </r>
  <r>
    <x v="1"/>
    <x v="26"/>
    <x v="22"/>
    <x v="21"/>
    <x v="25"/>
    <x v="23"/>
    <x v="24"/>
    <x v="25"/>
    <x v="24"/>
    <x v="11"/>
  </r>
  <r>
    <x v="1"/>
    <x v="27"/>
    <x v="23"/>
    <x v="7"/>
    <x v="26"/>
    <x v="24"/>
    <x v="25"/>
    <x v="26"/>
    <x v="25"/>
    <x v="23"/>
  </r>
  <r>
    <x v="1"/>
    <x v="28"/>
    <x v="12"/>
    <x v="22"/>
    <x v="1"/>
    <x v="25"/>
    <x v="23"/>
    <x v="24"/>
    <x v="17"/>
    <x v="24"/>
  </r>
  <r>
    <x v="2"/>
    <x v="29"/>
    <x v="15"/>
    <x v="23"/>
    <x v="22"/>
    <x v="26"/>
    <x v="26"/>
    <x v="17"/>
    <x v="26"/>
    <x v="25"/>
  </r>
  <r>
    <x v="2"/>
    <x v="30"/>
    <x v="24"/>
    <x v="24"/>
    <x v="27"/>
    <x v="27"/>
    <x v="27"/>
    <x v="27"/>
    <x v="21"/>
    <x v="9"/>
  </r>
  <r>
    <x v="2"/>
    <x v="31"/>
    <x v="25"/>
    <x v="25"/>
    <x v="28"/>
    <x v="28"/>
    <x v="28"/>
    <x v="28"/>
    <x v="27"/>
    <x v="26"/>
  </r>
  <r>
    <x v="2"/>
    <x v="32"/>
    <x v="26"/>
    <x v="26"/>
    <x v="15"/>
    <x v="29"/>
    <x v="3"/>
    <x v="29"/>
    <x v="28"/>
    <x v="27"/>
  </r>
  <r>
    <x v="2"/>
    <x v="33"/>
    <x v="27"/>
    <x v="27"/>
    <x v="29"/>
    <x v="30"/>
    <x v="29"/>
    <x v="30"/>
    <x v="29"/>
    <x v="28"/>
  </r>
  <r>
    <x v="2"/>
    <x v="34"/>
    <x v="28"/>
    <x v="28"/>
    <x v="30"/>
    <x v="31"/>
    <x v="30"/>
    <x v="31"/>
    <x v="23"/>
    <x v="29"/>
  </r>
  <r>
    <x v="2"/>
    <x v="35"/>
    <x v="29"/>
    <x v="29"/>
    <x v="3"/>
    <x v="32"/>
    <x v="31"/>
    <x v="32"/>
    <x v="30"/>
    <x v="3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m/>
    <m/>
    <x v="0"/>
  </r>
  <r>
    <n v="1.0186528497409326"/>
    <n v="1.0091185410334347"/>
    <x v="1"/>
  </r>
  <r>
    <n v="1.115995115995116"/>
    <n v="1.0707865168539326"/>
    <x v="2"/>
  </r>
  <r>
    <n v="1.0825688073394495"/>
    <n v="1.014799154334038"/>
    <x v="3"/>
  </r>
  <r>
    <n v="1.066820276497696"/>
    <n v="1.029050279329609"/>
    <x v="4"/>
  </r>
  <r>
    <n v="1.0772532188841202"/>
    <n v="1.0470711297071129"/>
    <x v="5"/>
  </r>
  <r>
    <n v="1.0578158458244111"/>
    <n v="1.0491631799163179"/>
    <x v="6"/>
  </r>
  <r>
    <n v="1.0738636363636365"/>
    <n v="1.0784090909090909"/>
    <x v="7"/>
  </r>
  <r>
    <n v="1.0224321133412042"/>
    <n v="1.0103092783505154"/>
    <x v="8"/>
  </r>
  <r>
    <n v="1.2440251572327043"/>
    <n v="1.1559202813599063"/>
    <x v="9"/>
  </r>
  <r>
    <n v="1.1196581196581197"/>
    <n v="1.0809523809523809"/>
    <x v="10"/>
  </r>
  <r>
    <n v="1.1057471264367815"/>
    <n v="1.0560439560439561"/>
    <x v="11"/>
  </r>
  <r>
    <n v="1.0371549893842889"/>
    <n v="1.0166147455867083"/>
    <x v="12"/>
  </r>
  <r>
    <n v="1.0009451795841209"/>
    <n v="0.98808432630614118"/>
    <x v="13"/>
  </r>
  <r>
    <n v="1.0322939866369711"/>
    <n v="1.0196078431372548"/>
    <x v="14"/>
  </r>
  <r>
    <n v="1.0996563573883162"/>
    <n v="1.054263565891473"/>
    <x v="15"/>
  </r>
  <r>
    <n v="0.95837462834489595"/>
    <n v="0.94444444444444442"/>
    <x v="16"/>
  </r>
  <r>
    <n v="0.98676171079429731"/>
    <n v="0.98501498501498497"/>
    <x v="17"/>
  </r>
  <r>
    <n v="0.97362869198312241"/>
    <n v="0.95390781563126248"/>
    <x v="18"/>
  </r>
  <r>
    <n v="1.1049457177322075"/>
    <n v="1.0352422907488987"/>
    <x v="19"/>
  </r>
  <r>
    <n v="1.1027932960893854"/>
    <n v="1.0611587982832618"/>
    <x v="20"/>
  </r>
  <r>
    <n v="1.0482921083627796"/>
    <n v="1.0365714285714285"/>
    <x v="21"/>
  </r>
  <r>
    <n v="1.0449438202247192"/>
    <n v="1.0207877461706782"/>
    <x v="22"/>
  </r>
  <r>
    <n v="1.0602409638554218"/>
    <n v="0.96604600219058046"/>
    <x v="23"/>
  </r>
  <r>
    <n v="1.0101832993890021"/>
    <n v="0.99299999999999999"/>
    <x v="24"/>
  </r>
  <r>
    <n v="0.986444212721585"/>
    <n v="0.98150051387461457"/>
    <x v="25"/>
  </r>
  <r>
    <n v="1.0319634703196348"/>
    <n v="1.0268456375838926"/>
    <x v="26"/>
  </r>
  <r>
    <n v="1.1917159763313609"/>
    <n v="1.1312217194570136"/>
    <x v="27"/>
  </r>
  <r>
    <n v="1.0638297872340425"/>
    <n v="1.0095338983050848"/>
    <x v="28"/>
  </r>
  <r>
    <n v="1.0564417177914109"/>
    <n v="1.0034324942791761"/>
    <x v="29"/>
  </r>
  <r>
    <n v="0.78015075376884424"/>
    <n v="0.83941605839416056"/>
    <x v="30"/>
  </r>
  <r>
    <n v="1.2329956584659914"/>
    <n v="1.2653958944281525"/>
    <x v="31"/>
  </r>
  <r>
    <n v="0.59552845528455289"/>
    <n v="1.5680580762250453"/>
    <x v="32"/>
  </r>
  <r>
    <n v="1.0256684491978609"/>
    <n v="1.0074074074074073"/>
    <x v="33"/>
  </r>
  <r>
    <n v="0.98540145985401462"/>
    <n v="0.98156682027649766"/>
    <x v="34"/>
  </r>
  <r>
    <n v="0.98311817279046676"/>
    <n v="0.98656429942418422"/>
    <x v="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complete_graph_pivot" cacheId="1" applyNumberFormats="0" applyBorderFormats="0" applyFontFormats="0" applyPatternFormats="0" applyAlignmentFormats="0" applyWidthHeightFormats="1" dataCaption="Values" updatedVersion="6" minRefreshableVersion="3" useAutoFormatting="1" createdVersion="5" indent="0" outline="1" outlineData="1" multipleFieldFilters="0" chartFormat="31">
  <location ref="A7:E52" firstHeaderRow="0" firstDataRow="1" firstDataCol="1"/>
  <pivotFields count="14">
    <pivotField showAll="0">
      <items count="5">
        <item x="0"/>
        <item x="1"/>
        <item x="2"/>
        <item m="1" x="3"/>
        <item t="default"/>
      </items>
    </pivotField>
    <pivotField axis="axisRow" showAll="0">
      <items count="10">
        <item x="4"/>
        <item x="0"/>
        <item x="3"/>
        <item x="6"/>
        <item x="2"/>
        <item x="1"/>
        <item x="7"/>
        <item x="5"/>
        <item m="1" x="8"/>
        <item t="default"/>
      </items>
    </pivotField>
    <pivotField axis="axisRow" showAll="0">
      <items count="38">
        <item x="0"/>
        <item x="29"/>
        <item x="1"/>
        <item x="2"/>
        <item x="3"/>
        <item x="4"/>
        <item x="30"/>
        <item x="5"/>
        <item x="31"/>
        <item x="32"/>
        <item x="6"/>
        <item x="7"/>
        <item x="8"/>
        <item x="9"/>
        <item x="10"/>
        <item x="11"/>
        <item x="12"/>
        <item x="13"/>
        <item x="33"/>
        <item x="14"/>
        <item x="15"/>
        <item x="16"/>
        <item x="17"/>
        <item x="18"/>
        <item x="19"/>
        <item x="34"/>
        <item x="20"/>
        <item x="35"/>
        <item x="21"/>
        <item x="22"/>
        <item x="23"/>
        <item x="24"/>
        <item x="25"/>
        <item x="26"/>
        <item x="27"/>
        <item x="28"/>
        <item h="1" m="1" x="36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"/>
    <field x="2"/>
  </rowFields>
  <rowItems count="45">
    <i>
      <x/>
    </i>
    <i r="1">
      <x v="7"/>
    </i>
    <i r="1">
      <x v="19"/>
    </i>
    <i>
      <x v="1"/>
    </i>
    <i r="1">
      <x/>
    </i>
    <i>
      <x v="2"/>
    </i>
    <i r="1">
      <x v="5"/>
    </i>
    <i r="1">
      <x v="15"/>
    </i>
    <i r="1">
      <x v="26"/>
    </i>
    <i r="1">
      <x v="35"/>
    </i>
    <i>
      <x v="3"/>
    </i>
    <i r="1">
      <x v="12"/>
    </i>
    <i r="1">
      <x v="13"/>
    </i>
    <i r="1">
      <x v="14"/>
    </i>
    <i r="1">
      <x v="28"/>
    </i>
    <i r="1">
      <x v="33"/>
    </i>
    <i r="1">
      <x v="34"/>
    </i>
    <i>
      <x v="4"/>
    </i>
    <i r="1">
      <x v="3"/>
    </i>
    <i r="1">
      <x v="4"/>
    </i>
    <i r="1">
      <x v="21"/>
    </i>
    <i r="1">
      <x v="22"/>
    </i>
    <i r="1">
      <x v="23"/>
    </i>
    <i r="1">
      <x v="24"/>
    </i>
    <i r="1">
      <x v="30"/>
    </i>
    <i r="1">
      <x v="32"/>
    </i>
    <i>
      <x v="5"/>
    </i>
    <i r="1">
      <x v="2"/>
    </i>
    <i r="1">
      <x v="16"/>
    </i>
    <i r="1">
      <x v="17"/>
    </i>
    <i r="1">
      <x v="31"/>
    </i>
    <i>
      <x v="6"/>
    </i>
    <i r="1">
      <x v="1"/>
    </i>
    <i r="1">
      <x v="6"/>
    </i>
    <i r="1">
      <x v="8"/>
    </i>
    <i r="1">
      <x v="9"/>
    </i>
    <i r="1">
      <x v="18"/>
    </i>
    <i r="1">
      <x v="25"/>
    </i>
    <i r="1">
      <x v="27"/>
    </i>
    <i>
      <x v="7"/>
    </i>
    <i r="1">
      <x v="10"/>
    </i>
    <i r="1">
      <x v="11"/>
    </i>
    <i r="1">
      <x v="20"/>
    </i>
    <i r="1">
      <x v="2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 Rural - 2011" fld="6" baseField="1" baseItem="1"/>
    <dataField name="Sum of Urban - 2011" fld="8" baseField="1" baseItem="1"/>
    <dataField name="Sum of  Rural - 2001" fld="5" baseField="0" baseItem="0"/>
    <dataField name="Sum of Urban - 2001" fld="7" baseField="0" baseItem="0"/>
  </dataFields>
  <formats count="15"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1" type="button" dataOnly="0" labelOnly="1" outline="0" axis="axisRow" fieldPosition="0"/>
    </format>
    <format dxfId="94">
      <pivotArea dataOnly="0" labelOnly="1" fieldPosition="0">
        <references count="1">
          <reference field="1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0" selected="0"/>
          <reference field="2" count="7">
            <x v="1"/>
            <x v="6"/>
            <x v="8"/>
            <x v="9"/>
            <x v="18"/>
            <x v="25"/>
            <x v="27"/>
          </reference>
        </references>
      </pivotArea>
    </format>
    <format dxfId="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0">
      <pivotArea field="1" type="button" dataOnly="0" labelOnly="1" outline="0" axis="axisRow" fieldPosition="0"/>
    </format>
    <format dxfId="8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8">
      <pivotArea dataOnly="0" grandRow="1" fieldPosition="0"/>
    </format>
    <format dxfId="87">
      <pivotArea collapsedLevelsAreSubtotals="1" fieldPosition="0">
        <references count="1">
          <reference field="1" count="0"/>
        </references>
      </pivotArea>
    </format>
    <format dxfId="86">
      <pivotArea collapsedLevelsAreSubtotals="1" fieldPosition="0">
        <references count="2">
          <reference field="1" count="0" selected="0"/>
          <reference field="2" count="7">
            <x v="1"/>
            <x v="6"/>
            <x v="8"/>
            <x v="9"/>
            <x v="18"/>
            <x v="25"/>
            <x v="27"/>
          </reference>
        </references>
      </pivotArea>
    </format>
    <format dxfId="85">
      <pivotArea dataOnly="0" labelOnly="1" fieldPosition="0">
        <references count="1">
          <reference field="1" count="0"/>
        </references>
      </pivotArea>
    </format>
    <format dxfId="84">
      <pivotArea dataOnly="0" labelOnly="1" fieldPosition="0">
        <references count="2">
          <reference field="1" count="0" selected="0"/>
          <reference field="2" count="7">
            <x v="1"/>
            <x v="6"/>
            <x v="8"/>
            <x v="9"/>
            <x v="18"/>
            <x v="25"/>
            <x v="27"/>
          </reference>
        </references>
      </pivotArea>
    </format>
    <format dxfId="83">
      <pivotArea dataOnly="0" labelOnly="1" outline="0" fieldPosition="0">
        <references count="1">
          <reference field="4294967294" count="2">
            <x v="2"/>
            <x v="3"/>
          </reference>
        </references>
      </pivotArea>
    </format>
  </formats>
  <chartFormats count="8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Medium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change_in_sex_ratio" cacheId="1" applyNumberFormats="0" applyBorderFormats="0" applyFontFormats="0" applyPatternFormats="0" applyAlignmentFormats="0" applyWidthHeightFormats="1" dataCaption="Values" updatedVersion="6" minRefreshableVersion="3" useAutoFormatting="1" createdVersion="5" indent="0" outline="1" outlineData="1" multipleFieldFilters="0" chartFormat="28">
  <location ref="A7:D44" firstHeaderRow="0" firstDataRow="1" firstDataCol="1"/>
  <pivotFields count="14">
    <pivotField showAll="0">
      <items count="5">
        <item x="0"/>
        <item x="1"/>
        <item x="2"/>
        <item m="1" x="3"/>
        <item t="default"/>
      </items>
    </pivotField>
    <pivotField showAll="0" defaultSubtotal="0">
      <items count="9">
        <item h="1" x="4"/>
        <item h="1" x="0"/>
        <item h="1" x="3"/>
        <item x="6"/>
        <item h="1" x="2"/>
        <item h="1" x="1"/>
        <item h="1" x="7"/>
        <item h="1" x="5"/>
        <item h="1" m="1" x="8"/>
      </items>
    </pivotField>
    <pivotField axis="axisRow" showAll="0" sortType="descending">
      <items count="38">
        <item x="0"/>
        <item x="29"/>
        <item x="1"/>
        <item x="2"/>
        <item x="3"/>
        <item x="4"/>
        <item x="30"/>
        <item x="5"/>
        <item x="31"/>
        <item x="32"/>
        <item x="6"/>
        <item x="7"/>
        <item x="8"/>
        <item x="9"/>
        <item x="10"/>
        <item x="11"/>
        <item x="12"/>
        <item x="13"/>
        <item x="33"/>
        <item x="14"/>
        <item x="15"/>
        <item x="16"/>
        <item x="17"/>
        <item x="18"/>
        <item x="19"/>
        <item x="34"/>
        <item x="20"/>
        <item x="35"/>
        <item x="21"/>
        <item x="22"/>
        <item x="23"/>
        <item x="24"/>
        <item x="25"/>
        <item x="26"/>
        <item x="27"/>
        <item x="28"/>
        <item m="1" x="36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howAll="0"/>
    <pivotField dataField="1" showAll="0"/>
    <pivotField showAll="0"/>
    <pivotField showAll="0"/>
    <pivotField showAll="0"/>
    <pivotField showAl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37">
    <i>
      <x v="25"/>
    </i>
    <i>
      <x v="3"/>
    </i>
    <i>
      <x v="23"/>
    </i>
    <i>
      <x v="6"/>
    </i>
    <i>
      <x v="27"/>
    </i>
    <i>
      <x v="24"/>
    </i>
    <i>
      <x v="1"/>
    </i>
    <i>
      <x v="17"/>
    </i>
    <i>
      <x v="4"/>
    </i>
    <i>
      <x v="28"/>
    </i>
    <i>
      <x v="12"/>
    </i>
    <i>
      <x v="22"/>
    </i>
    <i>
      <x v="35"/>
    </i>
    <i>
      <x v="30"/>
    </i>
    <i>
      <x v="2"/>
    </i>
    <i>
      <x v="33"/>
    </i>
    <i>
      <x v="10"/>
    </i>
    <i>
      <x v="19"/>
    </i>
    <i>
      <x v="32"/>
    </i>
    <i>
      <x/>
    </i>
    <i>
      <x v="31"/>
    </i>
    <i>
      <x v="16"/>
    </i>
    <i>
      <x v="20"/>
    </i>
    <i>
      <x v="29"/>
    </i>
    <i>
      <x v="26"/>
    </i>
    <i>
      <x v="15"/>
    </i>
    <i>
      <x v="21"/>
    </i>
    <i>
      <x v="13"/>
    </i>
    <i>
      <x v="7"/>
    </i>
    <i>
      <x v="34"/>
    </i>
    <i>
      <x v="11"/>
    </i>
    <i>
      <x v="5"/>
    </i>
    <i>
      <x v="18"/>
    </i>
    <i>
      <x v="14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 - 2001" fld="3" baseField="0" baseItem="0"/>
    <dataField name="Total - 2011" fld="4" baseField="0" baseItem="0"/>
    <dataField name="2011-2001 difference" fld="9" baseField="1" baseItem="0"/>
  </dataFields>
  <formats count="10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2" type="button" dataOnly="0" labelOnly="1" outline="0" axis="axisRow" fieldPosition="0"/>
    </format>
    <format dxfId="79">
      <pivotArea dataOnly="0" labelOnly="1" outline="0" fieldPosition="0"/>
    </format>
    <format dxfId="78">
      <pivotArea dataOnly="0" labelOnly="1" grandRow="1" outline="0" fieldPosition="0"/>
    </format>
    <format dxfId="77">
      <pivotArea type="all" dataOnly="0" outline="0" fieldPosition="0"/>
    </format>
    <format dxfId="76">
      <pivotArea field="2" type="button" dataOnly="0" labelOnly="1" outline="0" axis="axisRow" fieldPosition="0"/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outline="0" collapsedLevelsAreSubtotals="1" fieldPosition="0"/>
    </format>
    <format dxfId="73">
      <pivotArea dataOnly="0" labelOnly="1" grandRow="1" outline="0" fieldPosition="0"/>
    </format>
  </formats>
  <chartFormats count="6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2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abv_avg_pivot" cacheId="1" applyNumberFormats="0" applyBorderFormats="0" applyFontFormats="0" applyPatternFormats="0" applyAlignmentFormats="0" applyWidthHeightFormats="1" dataCaption="Values" updatedVersion="6" minRefreshableVersion="3" useAutoFormatting="1" createdVersion="5" indent="0" outline="1" outlineData="1" multipleFieldFilters="0" chartFormat="32">
  <location ref="A11:C48" firstHeaderRow="0" firstDataRow="1" firstDataCol="1"/>
  <pivotFields count="14">
    <pivotField showAll="0">
      <items count="5">
        <item x="0"/>
        <item x="1"/>
        <item x="2"/>
        <item m="1" x="3"/>
        <item t="default"/>
      </items>
    </pivotField>
    <pivotField showAll="0" defaultSubtotal="0">
      <items count="9">
        <item x="4"/>
        <item x="0"/>
        <item x="3"/>
        <item x="6"/>
        <item x="2"/>
        <item x="1"/>
        <item x="7"/>
        <item x="5"/>
        <item m="1" x="8"/>
      </items>
    </pivotField>
    <pivotField axis="axisRow" showAll="0" sortType="ascending">
      <items count="38">
        <item x="29"/>
        <item x="1"/>
        <item x="2"/>
        <item x="3"/>
        <item x="4"/>
        <item x="30"/>
        <item x="5"/>
        <item x="31"/>
        <item x="32"/>
        <item x="6"/>
        <item x="7"/>
        <item x="8"/>
        <item x="9"/>
        <item x="0"/>
        <item x="10"/>
        <item x="11"/>
        <item x="12"/>
        <item x="13"/>
        <item x="33"/>
        <item x="14"/>
        <item x="15"/>
        <item x="16"/>
        <item x="17"/>
        <item x="18"/>
        <item x="19"/>
        <item x="34"/>
        <item x="20"/>
        <item x="35"/>
        <item x="21"/>
        <item x="22"/>
        <item x="23"/>
        <item x="24"/>
        <item x="25"/>
        <item x="26"/>
        <item x="27"/>
        <item x="28"/>
        <item m="1" x="36"/>
        <item t="default"/>
      </items>
    </pivotField>
    <pivotField dataField="1" multipleItemSelectionAllowed="1" showAll="0"/>
    <pivotField dataField="1"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- 2011" fld="4" baseField="0" baseItem="0"/>
    <dataField name="Total - 2001" fld="3" baseField="0" baseItem="0"/>
  </dataFields>
  <formats count="8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2" type="button" dataOnly="0" labelOnly="1" outline="0" axis="axisRow" fieldPosition="0"/>
    </format>
    <format dxfId="69">
      <pivotArea dataOnly="0" labelOnly="1" grandRow="1" outline="0" fieldPosition="0"/>
    </format>
    <format dxfId="6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7">
      <pivotArea field="2" type="button" dataOnly="0" labelOnly="1" outline="0" axis="axisRow" fieldPosition="0"/>
    </format>
    <format dxfId="6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5">
      <pivotArea dataOnly="0" grandRow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15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ratio_of_u.t._pivot" cacheId="1" applyNumberFormats="0" applyBorderFormats="0" applyFontFormats="0" applyPatternFormats="0" applyAlignmentFormats="0" applyWidthHeightFormats="1" dataCaption="Values" updatedVersion="6" minRefreshableVersion="3" useAutoFormatting="1" createdVersion="5" indent="0" outline="1" outlineData="1" multipleFieldFilters="0" chartFormat="12">
  <location ref="A15:D23" firstHeaderRow="0" firstDataRow="1" firstDataCol="1" rowPageCount="1" colPageCount="1"/>
  <pivotFields count="14">
    <pivotField axis="axisPage" showAll="0">
      <items count="5">
        <item x="0"/>
        <item x="1"/>
        <item x="2"/>
        <item m="1" x="3"/>
        <item t="default"/>
      </items>
    </pivotField>
    <pivotField showAll="0" defaultSubtotal="0">
      <items count="9">
        <item x="4"/>
        <item x="0"/>
        <item x="3"/>
        <item x="6"/>
        <item x="2"/>
        <item x="1"/>
        <item x="7"/>
        <item x="5"/>
        <item m="1" x="8"/>
      </items>
    </pivotField>
    <pivotField axis="axisRow" showAll="0">
      <items count="38">
        <item x="0"/>
        <item x="29"/>
        <item x="1"/>
        <item x="2"/>
        <item x="3"/>
        <item x="4"/>
        <item x="30"/>
        <item x="5"/>
        <item x="31"/>
        <item x="32"/>
        <item x="6"/>
        <item x="7"/>
        <item x="8"/>
        <item x="9"/>
        <item x="10"/>
        <item x="11"/>
        <item x="12"/>
        <item x="13"/>
        <item x="33"/>
        <item x="14"/>
        <item x="15"/>
        <item x="16"/>
        <item x="17"/>
        <item x="18"/>
        <item x="19"/>
        <item x="34"/>
        <item x="20"/>
        <item x="35"/>
        <item x="21"/>
        <item x="22"/>
        <item x="23"/>
        <item x="24"/>
        <item x="25"/>
        <item x="26"/>
        <item x="27"/>
        <item x="28"/>
        <item m="1" x="36"/>
        <item t="default"/>
      </items>
    </pivotField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2"/>
  </rowFields>
  <rowItems count="8">
    <i>
      <x v="1"/>
    </i>
    <i>
      <x v="6"/>
    </i>
    <i>
      <x v="8"/>
    </i>
    <i>
      <x v="9"/>
    </i>
    <i>
      <x v="18"/>
    </i>
    <i>
      <x v="25"/>
    </i>
    <i>
      <x v="2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item="2" hier="0"/>
  </pageFields>
  <dataFields count="3">
    <dataField name="Ratio 2001" fld="10" baseField="0" baseItem="0"/>
    <dataField name="Ratio -2011" fld="11" baseField="0" baseItem="0" numFmtId="2"/>
    <dataField name="Sum of AVERAGE" fld="13" baseField="0" baseItem="0" numFmtId="2"/>
  </dataFields>
  <formats count="18">
    <format dxfId="64">
      <pivotArea dataOnly="0" outline="0" fieldPosition="0">
        <references count="1">
          <reference field="4294967294" count="1">
            <x v="0"/>
          </reference>
        </references>
      </pivotArea>
    </format>
    <format dxfId="6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1">
      <pivotArea field="2" type="button" dataOnly="0" labelOnly="1" outline="0" axis="axisRow" fieldPosition="0"/>
    </format>
    <format dxfId="6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9">
      <pivotArea dataOnly="0" grandRow="1" fieldPosition="0">
        <references count="1">
          <reference field="0" count="1" selected="0">
            <x v="2"/>
          </reference>
        </references>
      </pivotArea>
    </format>
    <format dxfId="58">
      <pivotArea collapsedLevelsAreSubtotals="1" fieldPosition="0">
        <references count="1">
          <reference field="2" count="7">
            <x v="1"/>
            <x v="6"/>
            <x v="8"/>
            <x v="9"/>
            <x v="18"/>
            <x v="25"/>
            <x v="27"/>
          </reference>
        </references>
      </pivotArea>
    </format>
    <format dxfId="57">
      <pivotArea dataOnly="0" labelOnly="1" fieldPosition="0">
        <references count="1">
          <reference field="2" count="7">
            <x v="1"/>
            <x v="6"/>
            <x v="8"/>
            <x v="9"/>
            <x v="18"/>
            <x v="25"/>
            <x v="27"/>
          </reference>
        </references>
      </pivotArea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collapsedLevelsAreSubtotals="1" fieldPosition="0">
        <references count="1">
          <reference field="2" count="7">
            <x v="1"/>
            <x v="6"/>
            <x v="8"/>
            <x v="9"/>
            <x v="18"/>
            <x v="25"/>
            <x v="27"/>
          </reference>
        </references>
      </pivotArea>
    </format>
    <format dxfId="53">
      <pivotArea dataOnly="0" labelOnly="1" fieldPosition="0">
        <references count="1">
          <reference field="2" count="7">
            <x v="1"/>
            <x v="6"/>
            <x v="8"/>
            <x v="9"/>
            <x v="18"/>
            <x v="25"/>
            <x v="27"/>
          </reference>
        </references>
      </pivotArea>
    </format>
    <format dxfId="52">
      <pivotArea grandRow="1" outline="0" collapsedLevelsAreSubtotals="1" fieldPosition="0"/>
    </format>
    <format dxfId="51">
      <pivotArea dataOnly="0" labelOnly="1" grandRow="1" outline="0" fieldPosition="0"/>
    </format>
    <format dxfId="50">
      <pivotArea field="2" type="button" dataOnly="0" labelOnly="1" outline="0" axis="axisRow" fieldPosition="0"/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collapsedLevelsAreSubtotals="1" fieldPosition="0">
        <references count="2">
          <reference field="4294967294" count="1" selected="0">
            <x v="2"/>
          </reference>
          <reference field="2" count="7">
            <x v="1"/>
            <x v="6"/>
            <x v="8"/>
            <x v="9"/>
            <x v="18"/>
            <x v="25"/>
            <x v="27"/>
          </reference>
        </references>
      </pivotArea>
    </format>
    <format dxfId="47">
      <pivotArea outline="0" fieldPosition="0">
        <references count="1">
          <reference field="4294967294" count="1">
            <x v="2"/>
          </reference>
        </references>
      </pivotArea>
    </format>
  </formats>
  <chartFormats count="6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1" cacheId="1" applyNumberFormats="0" applyBorderFormats="0" applyFontFormats="0" applyPatternFormats="0" applyAlignmentFormats="0" applyWidthHeightFormats="1" dataCaption="Values" updatedVersion="6" minRefreshableVersion="3" useAutoFormatting="1" createdVersion="5" indent="0" outline="1" outlineData="1" multipleFieldFilters="0" chartFormat="2">
  <location ref="A3:C11" firstHeaderRow="0" firstDataRow="1" firstDataCol="1"/>
  <pivotFields count="14">
    <pivotField showAll="0">
      <items count="5">
        <item x="0"/>
        <item x="1"/>
        <item x="2"/>
        <item m="1" x="3"/>
        <item t="default"/>
      </items>
    </pivotField>
    <pivotField axis="axisRow" showAll="0">
      <items count="10">
        <item h="1" x="4"/>
        <item h="1" x="0"/>
        <item h="1" x="3"/>
        <item x="6"/>
        <item h="1" x="2"/>
        <item h="1" x="1"/>
        <item h="1" x="7"/>
        <item h="1" x="5"/>
        <item h="1" m="1" x="8"/>
        <item t="default"/>
      </items>
    </pivotField>
    <pivotField axis="axisRow" multipleItemSelectionAllowed="1" showAll="0">
      <items count="38">
        <item x="29"/>
        <item x="1"/>
        <item x="2"/>
        <item x="3"/>
        <item x="4"/>
        <item x="30"/>
        <item x="5"/>
        <item x="31"/>
        <item x="32"/>
        <item x="6"/>
        <item x="7"/>
        <item x="8"/>
        <item x="9"/>
        <item x="0"/>
        <item x="10"/>
        <item x="11"/>
        <item x="12"/>
        <item x="13"/>
        <item x="33"/>
        <item x="14"/>
        <item x="15"/>
        <item x="16"/>
        <item x="17"/>
        <item x="18"/>
        <item x="19"/>
        <item x="34"/>
        <item x="20"/>
        <item x="35"/>
        <item x="21"/>
        <item x="22"/>
        <item x="23"/>
        <item x="24"/>
        <item x="25"/>
        <item x="26"/>
        <item x="27"/>
        <item x="28"/>
        <item m="1" x="36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"/>
    <field x="2"/>
  </rowFields>
  <rowItems count="8">
    <i>
      <x v="3"/>
    </i>
    <i r="1">
      <x v="11"/>
    </i>
    <i r="1">
      <x v="12"/>
    </i>
    <i r="1">
      <x v="14"/>
    </i>
    <i r="1">
      <x v="28"/>
    </i>
    <i r="1">
      <x v="33"/>
    </i>
    <i r="1">
      <x v="3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 Total - 2011" fld="4" baseField="0" baseItem="0"/>
    <dataField name="Sum of  Total - 2001" fld="3" baseField="0" baseItem="0"/>
  </dataFields>
  <chartFormats count="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2" count="1" selected="0">
            <x v="3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10" cacheId="1" applyNumberFormats="0" applyBorderFormats="0" applyFontFormats="0" applyPatternFormats="0" applyAlignmentFormats="0" applyWidthHeightFormats="1" dataCaption="Values" updatedVersion="6" minRefreshableVersion="3" useAutoFormatting="1" createdVersion="5" indent="0" outline="1" outlineData="1" multipleFieldFilters="0" chartFormat="2">
  <location ref="A3:C9" firstHeaderRow="0" firstDataRow="1" firstDataCol="1"/>
  <pivotFields count="14">
    <pivotField showAll="0">
      <items count="5">
        <item x="0"/>
        <item x="1"/>
        <item x="2"/>
        <item m="1" x="3"/>
        <item t="default"/>
      </items>
    </pivotField>
    <pivotField showAll="0"/>
    <pivotField axis="axisRow" showAll="0" measureFilter="1">
      <items count="38">
        <item x="29"/>
        <item x="1"/>
        <item x="2"/>
        <item x="3"/>
        <item x="4"/>
        <item x="30"/>
        <item x="5"/>
        <item x="31"/>
        <item x="32"/>
        <item x="6"/>
        <item x="7"/>
        <item x="8"/>
        <item x="9"/>
        <item x="0"/>
        <item x="10"/>
        <item x="11"/>
        <item x="12"/>
        <item x="13"/>
        <item x="33"/>
        <item x="14"/>
        <item x="15"/>
        <item x="16"/>
        <item x="17"/>
        <item x="18"/>
        <item x="19"/>
        <item x="34"/>
        <item x="20"/>
        <item x="35"/>
        <item x="21"/>
        <item x="22"/>
        <item x="23"/>
        <item x="24"/>
        <item x="25"/>
        <item x="26"/>
        <item x="27"/>
        <item x="28"/>
        <item m="1" x="36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6">
    <i>
      <x/>
    </i>
    <i>
      <x v="5"/>
    </i>
    <i>
      <x v="7"/>
    </i>
    <i>
      <x v="8"/>
    </i>
    <i>
      <x v="2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 Total - 2001" fld="3" baseField="0" baseItem="0"/>
    <dataField name="Sum of  Total - 2011" fld="4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1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F382B8-1D2D-448C-9CEF-790821715429}" name="PivotTable11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1">
  <location ref="A3:C40" firstHeaderRow="0" firstDataRow="1" firstDataCol="1"/>
  <pivotFields count="3">
    <pivotField dataField="1" showAll="0"/>
    <pivotField dataField="1" showAll="0"/>
    <pivotField axis="axisRow" showAll="0">
      <items count="37">
        <item x="29"/>
        <item x="1"/>
        <item x="2"/>
        <item x="3"/>
        <item x="4"/>
        <item x="30"/>
        <item x="5"/>
        <item x="31"/>
        <item x="32"/>
        <item x="6"/>
        <item x="7"/>
        <item x="8"/>
        <item x="9"/>
        <item x="10"/>
        <item x="11"/>
        <item x="12"/>
        <item x="13"/>
        <item x="33"/>
        <item x="14"/>
        <item x="15"/>
        <item x="16"/>
        <item x="17"/>
        <item x="18"/>
        <item x="19"/>
        <item x="34"/>
        <item x="20"/>
        <item x="35"/>
        <item x="21"/>
        <item x="22"/>
        <item x="23"/>
        <item x="24"/>
        <item x="25"/>
        <item x="26"/>
        <item x="27"/>
        <item x="28"/>
        <item x="0"/>
        <item t="default"/>
      </items>
    </pivotField>
  </pivotFields>
  <rowFields count="1">
    <field x="2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ATIO OF RURAL TO URBAN(2001)" fld="0" baseField="0" baseItem="0"/>
    <dataField name="Sum of RATIO OF RURAL TO URBAN(2011)" fld="1" baseField="0" baseItem="0"/>
  </dataFields>
  <chartFormats count="2"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PivotTable27" cacheId="4" applyNumberFormats="0" applyBorderFormats="0" applyFontFormats="0" applyPatternFormats="0" applyAlignmentFormats="0" applyWidthHeightFormats="1" dataCaption="Values" updatedVersion="6" minRefreshableVersion="3" useAutoFormatting="1" createdVersion="5" indent="0" compact="0" outline="1" outlineData="1" compactData="0" multipleFieldFilters="0" chartFormat="2">
  <location ref="A3:B14" firstHeaderRow="1" firstDataRow="1" firstDataCol="1"/>
  <pivotFields count="10">
    <pivotField compact="0" showAll="0">
      <items count="4">
        <item x="0"/>
        <item x="1"/>
        <item x="2"/>
        <item t="default"/>
      </items>
    </pivotField>
    <pivotField axis="axisRow" compact="0" showAll="0" measureFilter="1">
      <items count="37">
        <item x="29"/>
        <item x="1"/>
        <item x="2"/>
        <item x="3"/>
        <item x="4"/>
        <item x="30"/>
        <item x="5"/>
        <item x="31"/>
        <item x="32"/>
        <item x="6"/>
        <item x="7"/>
        <item x="8"/>
        <item x="9"/>
        <item x="0"/>
        <item x="10"/>
        <item x="11"/>
        <item x="12"/>
        <item x="13"/>
        <item x="33"/>
        <item x="14"/>
        <item x="15"/>
        <item x="16"/>
        <item x="17"/>
        <item x="18"/>
        <item x="19"/>
        <item x="34"/>
        <item x="20"/>
        <item x="35"/>
        <item x="21"/>
        <item x="22"/>
        <item x="23"/>
        <item x="24"/>
        <item x="25"/>
        <item x="26"/>
        <item x="27"/>
        <item x="28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</pivotFields>
  <rowFields count="1">
    <field x="1"/>
  </rowFields>
  <rowItems count="11">
    <i>
      <x/>
    </i>
    <i>
      <x v="5"/>
    </i>
    <i>
      <x v="7"/>
    </i>
    <i>
      <x v="8"/>
    </i>
    <i>
      <x v="12"/>
    </i>
    <i>
      <x v="17"/>
    </i>
    <i>
      <x v="21"/>
    </i>
    <i>
      <x v="27"/>
    </i>
    <i>
      <x v="30"/>
    </i>
    <i>
      <x v="34"/>
    </i>
    <i t="grand">
      <x/>
    </i>
  </rowItems>
  <colItems count="1">
    <i/>
  </colItems>
  <dataFields count="1">
    <dataField name="Sum of % CHANGE From SR-2011" fld="8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1000000}" name="PivotTable9" cacheId="3" applyNumberFormats="0" applyBorderFormats="0" applyFontFormats="0" applyPatternFormats="0" applyAlignmentFormats="0" applyWidthHeightFormats="1" dataCaption="Values" updatedVersion="5" minRefreshableVersion="3" useAutoFormatting="1" createdVersion="6" indent="0" outline="1" outlineData="1" multipleFieldFilters="0" chartFormat="2">
  <location ref="A3:B9" firstHeaderRow="1" firstDataRow="1" firstDataCol="1"/>
  <pivotFields count="4">
    <pivotField showAll="0"/>
    <pivotField axis="axisRow" showAll="0" measureFilter="1" sortType="descending">
      <items count="37">
        <item x="29"/>
        <item x="1"/>
        <item x="2"/>
        <item x="3"/>
        <item x="4"/>
        <item x="30"/>
        <item x="5"/>
        <item x="31"/>
        <item x="32"/>
        <item x="6"/>
        <item x="7"/>
        <item x="8"/>
        <item x="9"/>
        <item x="0"/>
        <item x="10"/>
        <item x="11"/>
        <item x="12"/>
        <item x="13"/>
        <item x="33"/>
        <item x="14"/>
        <item x="15"/>
        <item x="16"/>
        <item x="17"/>
        <item x="18"/>
        <item x="19"/>
        <item x="34"/>
        <item x="20"/>
        <item x="35"/>
        <item x="21"/>
        <item x="22"/>
        <item x="23"/>
        <item x="24"/>
        <item x="25"/>
        <item x="26"/>
        <item x="27"/>
        <item x="28"/>
        <item t="default"/>
      </items>
      <autoSortScope>
        <pivotArea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</pivotFields>
  <rowFields count="1">
    <field x="1"/>
  </rowFields>
  <rowItems count="6">
    <i>
      <x v="17"/>
    </i>
    <i>
      <x v="23"/>
    </i>
    <i>
      <x v="18"/>
    </i>
    <i>
      <x v="9"/>
    </i>
    <i>
      <x v="5"/>
    </i>
    <i t="grand">
      <x/>
    </i>
  </rowItems>
  <colItems count="1">
    <i/>
  </colItems>
  <dataFields count="1">
    <dataField name="Sum of Literacy Rate-2001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PivotTable25" cacheId="1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 chartFormat="2">
  <location ref="A23:B29" firstHeaderRow="1" firstDataRow="1" firstDataCol="1"/>
  <pivotFields count="14">
    <pivotField showAll="0">
      <items count="5">
        <item x="0"/>
        <item x="1"/>
        <item x="2"/>
        <item m="1" x="3"/>
        <item t="default"/>
      </items>
    </pivotField>
    <pivotField showAll="0">
      <items count="10">
        <item x="0"/>
        <item x="1"/>
        <item x="2"/>
        <item x="3"/>
        <item x="4"/>
        <item x="5"/>
        <item x="6"/>
        <item x="7"/>
        <item m="1" x="8"/>
        <item t="default"/>
      </items>
    </pivotField>
    <pivotField axis="axisRow" multipleItemSelectionAllowed="1" showAll="0" sortType="descending">
      <items count="38">
        <item h="1" x="29"/>
        <item h="1" x="1"/>
        <item h="1" x="2"/>
        <item h="1" x="3"/>
        <item h="1" x="4"/>
        <item x="30"/>
        <item h="1" x="5"/>
        <item h="1" x="31"/>
        <item h="1" x="32"/>
        <item x="6"/>
        <item h="1" x="7"/>
        <item h="1" x="8"/>
        <item h="1" x="9"/>
        <item h="1" x="0"/>
        <item h="1" x="10"/>
        <item h="1" x="11"/>
        <item h="1" x="12"/>
        <item x="13"/>
        <item x="33"/>
        <item h="1" x="14"/>
        <item h="1" x="15"/>
        <item h="1" x="16"/>
        <item h="1" x="17"/>
        <item x="18"/>
        <item h="1" x="19"/>
        <item h="1" x="34"/>
        <item h="1" x="20"/>
        <item h="1" x="35"/>
        <item h="1" x="21"/>
        <item h="1" x="22"/>
        <item h="1" x="23"/>
        <item h="1" x="24"/>
        <item h="1" x="25"/>
        <item h="1" x="26"/>
        <item h="1" x="27"/>
        <item h="1" x="28"/>
        <item h="1" m="1" x="36"/>
        <item t="default"/>
      </items>
      <autoSortScope>
        <pivotArea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6">
    <i>
      <x v="17"/>
    </i>
    <i>
      <x v="9"/>
    </i>
    <i>
      <x v="18"/>
    </i>
    <i>
      <x v="23"/>
    </i>
    <i>
      <x v="5"/>
    </i>
    <i t="grand">
      <x/>
    </i>
  </rowItems>
  <colItems count="1">
    <i/>
  </colItems>
  <dataFields count="1">
    <dataField name="Sum of  Total - 2001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PivotTable26" cacheId="3" applyNumberFormats="0" applyBorderFormats="0" applyFontFormats="0" applyPatternFormats="0" applyAlignmentFormats="0" applyWidthHeightFormats="1" dataCaption="Values" updatedVersion="5" minRefreshableVersion="3" useAutoFormatting="1" createdVersion="6" indent="0" compact="0" outline="1" outlineData="1" compactData="0" multipleFieldFilters="0" chartFormat="2">
  <location ref="A3:C40" firstHeaderRow="0" firstDataRow="1" firstDataCol="1"/>
  <pivotFields count="4">
    <pivotField compact="0" showAll="0"/>
    <pivotField axis="axisRow" compact="0" showAll="0" sortType="descending">
      <items count="37">
        <item x="29"/>
        <item x="1"/>
        <item x="2"/>
        <item x="3"/>
        <item x="4"/>
        <item x="30"/>
        <item x="5"/>
        <item x="31"/>
        <item x="32"/>
        <item x="6"/>
        <item x="7"/>
        <item x="8"/>
        <item x="9"/>
        <item x="0"/>
        <item x="10"/>
        <item x="11"/>
        <item x="12"/>
        <item x="13"/>
        <item x="33"/>
        <item x="14"/>
        <item x="15"/>
        <item x="16"/>
        <item x="17"/>
        <item x="18"/>
        <item x="19"/>
        <item x="34"/>
        <item x="20"/>
        <item x="35"/>
        <item x="21"/>
        <item x="22"/>
        <item x="23"/>
        <item x="24"/>
        <item x="25"/>
        <item x="26"/>
        <item x="27"/>
        <item x="28"/>
        <item t="default"/>
      </items>
      <autoSortScope>
        <pivotArea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compact="0" showAll="0"/>
    <pivotField dataField="1" compact="0" showAll="0"/>
  </pivotFields>
  <rowFields count="1">
    <field x="1"/>
  </rowFields>
  <rowItems count="37">
    <i>
      <x v="17"/>
    </i>
    <i>
      <x v="18"/>
    </i>
    <i>
      <x v="23"/>
    </i>
    <i>
      <x v="32"/>
    </i>
    <i>
      <x v="9"/>
    </i>
    <i>
      <x v="8"/>
    </i>
    <i>
      <x v="27"/>
    </i>
    <i>
      <x v="5"/>
    </i>
    <i>
      <x v="25"/>
    </i>
    <i>
      <x/>
    </i>
    <i>
      <x v="12"/>
    </i>
    <i>
      <x v="20"/>
    </i>
    <i>
      <x v="30"/>
    </i>
    <i>
      <x v="31"/>
    </i>
    <i>
      <x v="24"/>
    </i>
    <i>
      <x v="21"/>
    </i>
    <i>
      <x v="34"/>
    </i>
    <i>
      <x v="10"/>
    </i>
    <i>
      <x v="7"/>
    </i>
    <i>
      <x v="35"/>
    </i>
    <i>
      <x v="28"/>
    </i>
    <i>
      <x v="11"/>
    </i>
    <i>
      <x v="16"/>
    </i>
    <i>
      <x v="22"/>
    </i>
    <i>
      <x v="13"/>
    </i>
    <i>
      <x v="26"/>
    </i>
    <i>
      <x v="3"/>
    </i>
    <i>
      <x v="6"/>
    </i>
    <i>
      <x v="19"/>
    </i>
    <i>
      <x v="33"/>
    </i>
    <i>
      <x v="14"/>
    </i>
    <i>
      <x v="1"/>
    </i>
    <i>
      <x v="15"/>
    </i>
    <i>
      <x v="29"/>
    </i>
    <i>
      <x v="2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Literacy Rate-2001" fld="2" baseField="0" baseItem="0"/>
    <dataField name="Sum of Literacy Rate-2011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PivotTable8" cacheId="2" applyNumberFormats="0" applyBorderFormats="0" applyFontFormats="0" applyPatternFormats="0" applyAlignmentFormats="0" applyWidthHeightFormats="1" dataCaption="Values" updatedVersion="6" minRefreshableVersion="3" useAutoFormatting="1" createdVersion="6" indent="0" outline="1" outlineData="1" multipleFieldFilters="0" chartFormat="2">
  <location ref="A3:B23" firstHeaderRow="1" firstDataRow="1" firstDataCol="1"/>
  <pivotFields count="10">
    <pivotField showAll="0"/>
    <pivotField showAll="0"/>
    <pivotField axis="axisRow" showAll="0" measureFilter="1" sortType="descending">
      <items count="36">
        <item x="28"/>
        <item x="20"/>
        <item x="33"/>
        <item x="26"/>
        <item x="5"/>
        <item x="31"/>
        <item x="7"/>
        <item x="1"/>
        <item x="0"/>
        <item x="16"/>
        <item x="4"/>
        <item x="24"/>
        <item x="8"/>
        <item x="2"/>
        <item x="12"/>
        <item x="14"/>
        <item x="27"/>
        <item x="3"/>
        <item x="18"/>
        <item x="10"/>
        <item x="13"/>
        <item x="23"/>
        <item x="32"/>
        <item x="29"/>
        <item x="34"/>
        <item x="9"/>
        <item x="30"/>
        <item x="25"/>
        <item x="11"/>
        <item x="21"/>
        <item x="15"/>
        <item x="17"/>
        <item x="19"/>
        <item x="6"/>
        <item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2"/>
  </rowFields>
  <rowItems count="20">
    <i>
      <x v="24"/>
    </i>
    <i>
      <x v="2"/>
    </i>
    <i>
      <x v="22"/>
    </i>
    <i>
      <x v="5"/>
    </i>
    <i>
      <x v="26"/>
    </i>
    <i>
      <x v="23"/>
    </i>
    <i>
      <x/>
    </i>
    <i>
      <x v="16"/>
    </i>
    <i>
      <x v="3"/>
    </i>
    <i>
      <x v="27"/>
    </i>
    <i>
      <x v="11"/>
    </i>
    <i>
      <x v="21"/>
    </i>
    <i>
      <x v="34"/>
    </i>
    <i>
      <x v="1"/>
    </i>
    <i>
      <x v="29"/>
    </i>
    <i>
      <x v="32"/>
    </i>
    <i>
      <x v="18"/>
    </i>
    <i>
      <x v="9"/>
    </i>
    <i>
      <x v="31"/>
    </i>
    <i t="grand">
      <x/>
    </i>
  </rowItems>
  <colItems count="1">
    <i/>
  </colItems>
  <dataFields count="1">
    <dataField name="Sum of Difference" fld="5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valueGreaterThan" evalOrder="-1" id="1" iMeasureFld="0">
      <autoFilter ref="A1">
        <filterColumn colId="0">
          <customFilters>
            <customFilter operator="greaterThan" val="11.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84BA24-C788-484C-945C-766B3330488D}" name="PivotTable10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39" firstHeaderRow="1" firstDataRow="1" firstDataCol="1"/>
  <pivotFields count="10">
    <pivotField showAll="0"/>
    <pivotField showAll="0"/>
    <pivotField axis="axisRow" showAll="0" sortType="ascending">
      <items count="36">
        <item x="28"/>
        <item x="20"/>
        <item x="33"/>
        <item x="26"/>
        <item x="5"/>
        <item x="31"/>
        <item x="7"/>
        <item x="1"/>
        <item x="0"/>
        <item x="16"/>
        <item x="4"/>
        <item x="24"/>
        <item x="8"/>
        <item x="2"/>
        <item x="12"/>
        <item x="14"/>
        <item x="27"/>
        <item x="3"/>
        <item x="18"/>
        <item x="10"/>
        <item x="13"/>
        <item x="23"/>
        <item x="32"/>
        <item x="29"/>
        <item x="34"/>
        <item x="9"/>
        <item x="30"/>
        <item x="25"/>
        <item x="11"/>
        <item x="21"/>
        <item x="15"/>
        <item x="17"/>
        <item x="19"/>
        <item x="6"/>
        <item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36">
    <i>
      <x v="24"/>
    </i>
    <i>
      <x v="2"/>
    </i>
    <i>
      <x v="5"/>
    </i>
    <i>
      <x v="22"/>
    </i>
    <i>
      <x v="26"/>
    </i>
    <i>
      <x v="23"/>
    </i>
    <i>
      <x/>
    </i>
    <i>
      <x v="16"/>
    </i>
    <i>
      <x v="3"/>
    </i>
    <i>
      <x v="27"/>
    </i>
    <i>
      <x v="11"/>
    </i>
    <i>
      <x v="21"/>
    </i>
    <i>
      <x v="34"/>
    </i>
    <i>
      <x v="1"/>
    </i>
    <i>
      <x v="29"/>
    </i>
    <i>
      <x v="32"/>
    </i>
    <i>
      <x v="18"/>
    </i>
    <i>
      <x v="31"/>
    </i>
    <i>
      <x v="9"/>
    </i>
    <i>
      <x v="30"/>
    </i>
    <i>
      <x v="15"/>
    </i>
    <i>
      <x v="25"/>
    </i>
    <i>
      <x v="28"/>
    </i>
    <i>
      <x v="20"/>
    </i>
    <i>
      <x v="19"/>
    </i>
    <i>
      <x v="14"/>
    </i>
    <i>
      <x v="12"/>
    </i>
    <i>
      <x v="6"/>
    </i>
    <i>
      <x v="33"/>
    </i>
    <i>
      <x v="4"/>
    </i>
    <i>
      <x v="10"/>
    </i>
    <i>
      <x v="17"/>
    </i>
    <i>
      <x v="13"/>
    </i>
    <i>
      <x v="7"/>
    </i>
    <i>
      <x v="8"/>
    </i>
    <i t="grand">
      <x/>
    </i>
  </rowItems>
  <colItems count="1">
    <i/>
  </colItems>
  <dataFields count="1">
    <dataField name="Sum of RANK DIFF." fld="7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createdVersion="5" indent="0" outline="1" outlineData="1" multipleFieldFilters="0">
  <location ref="I51:K68" firstHeaderRow="1" firstDataRow="1" firstDataCol="0"/>
  <pivotFields count="8"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ZONES" xr10:uid="{00000000-0013-0000-FFFF-FFFF01000000}" sourceName="ZONES">
  <pivotTables>
    <pivotTable tabId="15" name="complete_graph_pivot"/>
  </pivotTables>
  <data>
    <tabular pivotCacheId="1" showMissing="0">
      <items count="9">
        <i x="4" s="1"/>
        <i x="0" s="1"/>
        <i x="3" s="1"/>
        <i x="6" s="1"/>
        <i x="2" s="1"/>
        <i x="1" s="1"/>
        <i x="7" s="1"/>
        <i x="5" s="1"/>
        <i x="8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ZONES1" xr10:uid="{00000000-0013-0000-FFFF-FFFF02000000}" sourceName="ZONES">
  <pivotTables>
    <pivotTable tabId="3" name="abv_avg_pivot"/>
  </pivotTables>
  <data>
    <tabular pivotCacheId="1">
      <items count="9">
        <i x="4" s="1"/>
        <i x="0" s="1"/>
        <i x="3" s="1"/>
        <i x="6" s="1"/>
        <i x="2" s="1"/>
        <i x="1" s="1"/>
        <i x="7" s="1"/>
        <i x="5" s="1"/>
        <i x="8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Sub_category2" xr10:uid="{00000000-0013-0000-FFFF-FFFF03000000}" sourceName="Sub-category">
  <pivotTables>
    <pivotTable tabId="4" name="ratio_of_u.t._pivot"/>
  </pivotTables>
  <data>
    <tabular pivotCacheId="1">
      <items count="37">
        <i x="29" s="1"/>
        <i x="30" s="1"/>
        <i x="31" s="1"/>
        <i x="32" s="1"/>
        <i x="33" s="1"/>
        <i x="34" s="1"/>
        <i x="35" s="1"/>
        <i x="1" s="1" nd="1"/>
        <i x="2" s="1" nd="1"/>
        <i x="3" s="1" nd="1"/>
        <i x="4" s="1" nd="1"/>
        <i x="5" s="1" nd="1"/>
        <i x="6" s="1" nd="1"/>
        <i x="7" s="1" nd="1"/>
        <i x="8" s="1" nd="1"/>
        <i x="9" s="1" nd="1"/>
        <i x="0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  <i x="22" s="1" nd="1"/>
        <i x="23" s="1" nd="1"/>
        <i x="24" s="1" nd="1"/>
        <i x="25" s="1" nd="1"/>
        <i x="26" s="1" nd="1"/>
        <i x="27" s="1" nd="1"/>
        <i x="28" s="1" nd="1"/>
        <i x="36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Sub_category4" xr10:uid="{00000000-0013-0000-FFFF-FFFF04000000}" sourceName="Sub-category">
  <pivotTables>
    <pivotTable tabId="2" name="change_in_sex_ratio"/>
  </pivotTables>
  <data>
    <tabular pivotCacheId="1">
      <items count="37">
        <i x="29" s="1"/>
        <i x="1" s="1"/>
        <i x="2" s="1"/>
        <i x="3" s="1"/>
        <i x="4" s="1"/>
        <i x="30" s="1"/>
        <i x="5" s="1"/>
        <i x="31" s="1"/>
        <i x="32" s="1"/>
        <i x="6" s="1"/>
        <i x="7" s="1"/>
        <i x="8" s="1"/>
        <i x="9" s="1"/>
        <i x="0" s="1"/>
        <i x="10" s="1"/>
        <i x="11" s="1"/>
        <i x="12" s="1"/>
        <i x="13" s="1"/>
        <i x="33" s="1"/>
        <i x="14" s="1"/>
        <i x="15" s="1"/>
        <i x="16" s="1"/>
        <i x="17" s="1"/>
        <i x="18" s="1"/>
        <i x="19" s="1"/>
        <i x="34" s="1"/>
        <i x="20" s="1"/>
        <i x="35" s="1"/>
        <i x="21" s="1"/>
        <i x="22" s="1"/>
        <i x="23" s="1"/>
        <i x="24" s="1"/>
        <i x="25" s="1"/>
        <i x="26" s="1"/>
        <i x="27" s="1"/>
        <i x="28" s="1"/>
        <i x="36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ZONES2" xr10:uid="{00000000-0013-0000-FFFF-FFFF05000000}" sourceName="ZONES">
  <pivotTables>
    <pivotTable tabId="24" name="PivotTable1"/>
  </pivotTables>
  <data>
    <tabular pivotCacheId="1">
      <items count="9">
        <i x="4"/>
        <i x="0"/>
        <i x="3"/>
        <i x="6" s="1"/>
        <i x="2"/>
        <i x="1"/>
        <i x="7"/>
        <i x="5"/>
        <i x="8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ZONES" xr10:uid="{00000000-0014-0000-FFFF-FFFF01000000}" cache="Slicer_ZONES" caption="ZONES" rowHeight="257175"/>
  <slicer name="ZONES 2" xr10:uid="{00000000-0014-0000-FFFF-FFFF02000000}" cache="Slicer_ZONES1" caption="ZONES" rowHeight="257175"/>
  <slicer name="Sub-category 2" xr10:uid="{00000000-0014-0000-FFFF-FFFF03000000}" cache="Slicer_Sub_category2" caption="Sub-category" rowHeight="257175"/>
  <slicer name="Sub-category 4" xr10:uid="{00000000-0014-0000-FFFF-FFFF04000000}" cache="Slicer_Sub_category4" caption="Sub-category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ZONES 1" xr10:uid="{00000000-0014-0000-FFFF-FFFF05000000}" cache="Slicer_ZONES" caption="ZONES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b-category 5" xr10:uid="{00000000-0014-0000-FFFF-FFFF06000000}" cache="Slicer_Sub_category4" caption="Sub-category" rowHeight="2603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ZONES 3" xr10:uid="{00000000-0014-0000-FFFF-FFFF07000000}" cache="Slicer_ZONES2" caption="ZONES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Table68" displayName="Table68" ref="N124:O131" totalsRowShown="0">
  <autoFilter ref="N124:O131" xr:uid="{00000000-0009-0000-0100-000007000000}"/>
  <tableColumns count="2">
    <tableColumn id="1" xr3:uid="{00000000-0010-0000-0000-000001000000}" name="COEFFICIENT" dataDxfId="99"/>
    <tableColumn id="2" xr3:uid="{00000000-0010-0000-0000-000002000000}" name="CORRELATION" dataDxfId="98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SexRatio" displayName="SexRatio" ref="A1:I37" totalsRowShown="0">
  <autoFilter ref="A1:I37" xr:uid="{00000000-0009-0000-0100-000001000000}">
    <filterColumn colId="0">
      <filters>
        <filter val="State"/>
        <filter val="Union Territory"/>
      </filters>
    </filterColumn>
  </autoFilter>
  <tableColumns count="9">
    <tableColumn id="1" xr3:uid="{00000000-0010-0000-0100-000001000000}" name="Category" dataDxfId="46"/>
    <tableColumn id="2" xr3:uid="{00000000-0010-0000-0100-000002000000}" name="ZONES" dataDxfId="45"/>
    <tableColumn id="3" xr3:uid="{00000000-0010-0000-0100-000003000000}" name="Sub-category" dataDxfId="44"/>
    <tableColumn id="4" xr3:uid="{00000000-0010-0000-0100-000004000000}" name=" Total - 2001" dataDxfId="43"/>
    <tableColumn id="5" xr3:uid="{00000000-0010-0000-0100-000005000000}" name=" Total - 2011" dataDxfId="42"/>
    <tableColumn id="6" xr3:uid="{00000000-0010-0000-0100-000006000000}" name=" Rural - 2001" dataDxfId="41"/>
    <tableColumn id="7" xr3:uid="{00000000-0010-0000-0100-000007000000}" name=" Rural - 2011" dataDxfId="40"/>
    <tableColumn id="8" xr3:uid="{00000000-0010-0000-0100-000008000000}" name="Urban - 2001" dataDxfId="39"/>
    <tableColumn id="9" xr3:uid="{00000000-0010-0000-0100-000009000000}" name="Urban - 2011" dataDxfId="38"/>
  </tableColumns>
  <tableStyleInfo name="TableStyleMedium2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DFE9C44-20D0-43E1-B42A-6941B94967A5}" name="Table6" displayName="Table6" ref="K1:M37" totalsRowShown="0">
  <autoFilter ref="K1:M37" xr:uid="{8AC4B212-4974-45B1-A9BD-931B62D1A147}"/>
  <tableColumns count="3">
    <tableColumn id="1" xr3:uid="{0770CC29-DE0E-4E8D-91C4-0BB1E8744FF6}" name="RATIO OF RURAL TO URBAN(2001)">
      <calculatedColumnFormula>SexRatio[[#This Row],[ Rural - 2001]]/SexRatio[[#This Row],[Urban - 2001]]</calculatedColumnFormula>
    </tableColumn>
    <tableColumn id="2" xr3:uid="{BF388FB4-BB0F-48FB-9BE5-98FA11CA6DBF}" name="RATIO OF RURAL TO URBAN(2011)">
      <calculatedColumnFormula>SexRatio[[#This Row],[ Rural - 2011]]/SexRatio[[#This Row],[Urban - 2011]]</calculatedColumnFormula>
    </tableColumn>
    <tableColumn id="3" xr3:uid="{25A8F44F-5A7D-4414-A96C-468A6F0848D3}" name="Sub-categor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CSR" displayName="CSR" ref="A1:J37" totalsRowShown="0">
  <autoFilter ref="A1:J37" xr:uid="{00000000-0009-0000-0100-000002000000}"/>
  <tableColumns count="10">
    <tableColumn id="1" xr3:uid="{00000000-0010-0000-0200-000001000000}" name="Category" dataDxfId="37"/>
    <tableColumn id="2" xr3:uid="{00000000-0010-0000-0200-000002000000}" name="Sub-category" dataDxfId="36"/>
    <tableColumn id="3" xr3:uid="{00000000-0010-0000-0200-000003000000}" name="CSR Total - 2001" dataDxfId="35"/>
    <tableColumn id="4" xr3:uid="{00000000-0010-0000-0200-000004000000}" name="CSR Total - 2011" dataDxfId="34"/>
    <tableColumn id="5" xr3:uid="{00000000-0010-0000-0200-000005000000}" name="CSR Rural - 2001" dataDxfId="33"/>
    <tableColumn id="6" xr3:uid="{00000000-0010-0000-0200-000006000000}" name="CSR Rural - 2011" dataDxfId="32"/>
    <tableColumn id="7" xr3:uid="{00000000-0010-0000-0200-000007000000}" name="CSR Urban - 2001" dataDxfId="31"/>
    <tableColumn id="8" xr3:uid="{00000000-0010-0000-0200-000008000000}" name="CSR Urban - 2011" dataDxfId="30"/>
    <tableColumn id="9" xr3:uid="{00000000-0010-0000-0200-000009000000}" name="% CHANGE From SR-2011" dataDxfId="29"/>
    <tableColumn id="10" xr3:uid="{00000000-0010-0000-0200-00000A000000}" name="% CHANGE FROM SR-2001" dataDxfId="28"/>
  </tableColumns>
  <tableStyleInfo name="TableStyleMedium2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Literacy_rate" displayName="Literacy_rate" ref="A1:D37" totalsRowShown="0">
  <autoFilter ref="A1:D37" xr:uid="{00000000-0009-0000-0100-000003000000}"/>
  <tableColumns count="4">
    <tableColumn id="1" xr3:uid="{00000000-0010-0000-0300-000001000000}" name="Category" dataDxfId="27"/>
    <tableColumn id="2" xr3:uid="{00000000-0010-0000-0300-000002000000}" name="Sub-category" dataDxfId="26"/>
    <tableColumn id="3" xr3:uid="{00000000-0010-0000-0300-000003000000}" name="Literacy Rate-2001" dataDxfId="25"/>
    <tableColumn id="4" xr3:uid="{00000000-0010-0000-0300-000004000000}" name="Literacy Rate-2011" dataDxfId="24"/>
  </tableColumns>
  <tableStyleInfo name="TableStyleMedium2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5" displayName="Table5" ref="A1:F36" totalsRowShown="0">
  <autoFilter ref="A1:F36" xr:uid="{00000000-0009-0000-0100-000005000000}">
    <filterColumn colId="0">
      <filters>
        <filter val="A &amp; N Islands"/>
        <filter val="Andhra Pradesh"/>
        <filter val="Arunachal Pradesh"/>
        <filter val="Assam"/>
        <filter val="Bihar"/>
        <filter val="Chandigarh"/>
        <filter val="Chhattisgarh"/>
        <filter val="D &amp; N Haveli"/>
        <filter val="Daman &amp; Diu"/>
        <filter val="Goa"/>
        <filter val="Gujarat"/>
        <filter val="Haryana"/>
        <filter val="Himachal Pradesh"/>
        <filter val="Jammu &amp; Kashmir"/>
        <filter val="Jharkhand"/>
        <filter val="Karnataka"/>
        <filter val="Kerala"/>
        <filter val="Lakshadweep"/>
        <filter val="Madhya Pradesh"/>
        <filter val="Maharashtra"/>
        <filter val="Manipur"/>
        <filter val="Meghalaya"/>
        <filter val="Mizoram"/>
        <filter val="Nagaland"/>
        <filter val="NCT of Delhi"/>
        <filter val="Odisha"/>
        <filter val="Puducherry"/>
        <filter val="Punjab"/>
        <filter val="Rajasthan"/>
        <filter val="Sikkim"/>
        <filter val="Tamil Nadu"/>
        <filter val="Tripura"/>
        <filter val="Uttar Pradesh"/>
        <filter val="Uttarakhand"/>
        <filter val="West Bengal"/>
      </filters>
    </filterColumn>
  </autoFilter>
  <tableColumns count="6">
    <tableColumn id="1" xr3:uid="{00000000-0010-0000-0400-000001000000}" name="Sub-category" dataDxfId="23"/>
    <tableColumn id="2" xr3:uid="{00000000-0010-0000-0400-000002000000}" name="Literacy Rate-2011" dataDxfId="22"/>
    <tableColumn id="3" xr3:uid="{00000000-0010-0000-0400-000003000000}" name=" Total - 2011" dataDxfId="21"/>
    <tableColumn id="4" xr3:uid="{00000000-0010-0000-0400-000004000000}" name="RANK(L.R.)" dataDxfId="20"/>
    <tableColumn id="5" xr3:uid="{00000000-0010-0000-0400-000005000000}" name="RANK(S.R.)" dataDxfId="19"/>
    <tableColumn id="6" xr3:uid="{00000000-0010-0000-0400-000006000000}" name="D^2">
      <calculatedColumnFormula>(Table5[[#This Row],[RANK(L.R.)]]-Table5[[#This Row],[RANK(S.R.)]])^2</calculatedColumnFormula>
    </tableColumn>
  </tableColumns>
  <tableStyleInfo name="TableStyleMedium2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4" displayName="Table4" ref="A1:J37" totalsRowCount="1">
  <autoFilter ref="A1:J36" xr:uid="{00000000-0009-0000-0100-000004000000}"/>
  <tableColumns count="10">
    <tableColumn id="1" xr3:uid="{00000000-0010-0000-0500-000001000000}" name="Category" dataDxfId="18" totalsRowDxfId="17"/>
    <tableColumn id="2" xr3:uid="{00000000-0010-0000-0500-000002000000}" name="ZONES" dataDxfId="16" totalsRowDxfId="15"/>
    <tableColumn id="3" xr3:uid="{00000000-0010-0000-0500-000003000000}" name="Sub-category" dataDxfId="14" totalsRowDxfId="13"/>
    <tableColumn id="4" xr3:uid="{00000000-0010-0000-0500-000004000000}" name=" Total - 2001" dataDxfId="12" totalsRowDxfId="11"/>
    <tableColumn id="5" xr3:uid="{00000000-0010-0000-0500-000005000000}" name=" Total - 2011" dataDxfId="10" totalsRowDxfId="9"/>
    <tableColumn id="6" xr3:uid="{00000000-0010-0000-0500-000006000000}" name="Difference" totalsRowFunction="custom" totalsRowDxfId="8">
      <calculatedColumnFormula>Table4[[#This Row],[ Total - 2011]]-Table4[[#This Row],[ Total - 2001]]</calculatedColumnFormula>
      <totalsRowFormula>AVERAGE(Table4[Difference])</totalsRowFormula>
    </tableColumn>
    <tableColumn id="7" xr3:uid="{00000000-0010-0000-0500-000007000000}" name="DGR -2001-11" dataDxfId="7" totalsRowDxfId="6"/>
    <tableColumn id="8" xr3:uid="{00000000-0010-0000-0500-000008000000}" name="RANK DIFF." dataDxfId="5" totalsRowDxfId="4">
      <calculatedColumnFormula>RANK(Table4[[#This Row],[Difference]],Table4[Difference])</calculatedColumnFormula>
    </tableColumn>
    <tableColumn id="9" xr3:uid="{00000000-0010-0000-0500-000009000000}" name="RANK DGR" dataDxfId="3" totalsRowDxfId="2">
      <calculatedColumnFormula>RANK(Table4[[#This Row],[DGR -2001-11]],Table4[DGR -2001-11])</calculatedColumnFormula>
    </tableColumn>
    <tableColumn id="10" xr3:uid="{00000000-0010-0000-0500-00000A000000}" name="(RANK DGR-RANK DIFF.)^2" dataDxfId="1" totalsRowDxfId="0">
      <calculatedColumnFormula>(Table4[[#This Row],[RANK DGR]]-Table4[[#This Row],[RANK DIFF.]])^2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12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1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opLeftCell="A6" workbookViewId="0">
      <selection activeCell="N17" sqref="N17"/>
    </sheetView>
  </sheetViews>
  <sheetFormatPr defaultColWidth="8.83203125" defaultRowHeight="15"/>
  <cols>
    <col min="1" max="1" width="8.33203125" style="52" customWidth="1"/>
    <col min="2" max="16384" width="8.83203125" style="52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topLeftCell="A8" workbookViewId="0">
      <selection activeCell="L5" sqref="L5"/>
    </sheetView>
  </sheetViews>
  <sheetFormatPr defaultColWidth="8.83203125" defaultRowHeight="15"/>
  <cols>
    <col min="1" max="16384" width="8.83203125" style="2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T1070"/>
  <sheetViews>
    <sheetView topLeftCell="A125" zoomScale="62" zoomScaleNormal="62" workbookViewId="0">
      <selection activeCell="O167" sqref="O167"/>
    </sheetView>
  </sheetViews>
  <sheetFormatPr defaultColWidth="8.83203125" defaultRowHeight="15"/>
  <cols>
    <col min="1" max="12" width="8.83203125" style="32"/>
    <col min="13" max="13" width="16.1640625" style="32" customWidth="1"/>
    <col min="14" max="14" width="25.1640625" style="32" customWidth="1"/>
    <col min="15" max="15" width="34.6640625" style="32" customWidth="1"/>
    <col min="16" max="16" width="12" style="32" customWidth="1"/>
    <col min="17" max="17" width="12.5" style="32" customWidth="1"/>
    <col min="18" max="18" width="11.83203125" style="32" customWidth="1"/>
    <col min="19" max="19" width="11.6640625" style="32" customWidth="1"/>
    <col min="20" max="20" width="14.33203125" style="32" customWidth="1"/>
    <col min="21" max="16384" width="8.83203125" style="32"/>
  </cols>
  <sheetData>
    <row r="1" spans="1:20" s="2" customFormat="1" ht="85.5" customHeight="1">
      <c r="A1" s="33" t="s">
        <v>0</v>
      </c>
    </row>
    <row r="2" spans="1:20" s="29" customFormat="1"/>
    <row r="3" spans="1:20" s="29" customFormat="1"/>
    <row r="4" spans="1:20" s="29" customFormat="1"/>
    <row r="5" spans="1:20" s="30" customFormat="1" ht="60" customHeight="1">
      <c r="N5" s="34" t="s">
        <v>1</v>
      </c>
      <c r="O5" s="35" t="s">
        <v>2</v>
      </c>
      <c r="P5" s="35" t="s">
        <v>2</v>
      </c>
      <c r="Q5" s="35" t="s">
        <v>3</v>
      </c>
      <c r="R5" s="35" t="s">
        <v>3</v>
      </c>
      <c r="S5" s="35" t="s">
        <v>4</v>
      </c>
      <c r="T5" s="35" t="s">
        <v>4</v>
      </c>
    </row>
    <row r="6" spans="1:20" s="30" customFormat="1" ht="30.75" customHeight="1">
      <c r="N6" s="36" t="s">
        <v>5</v>
      </c>
      <c r="O6" s="37">
        <v>2001</v>
      </c>
      <c r="P6" s="37">
        <v>2011</v>
      </c>
      <c r="Q6" s="37">
        <v>2001</v>
      </c>
      <c r="R6" s="37">
        <v>2011</v>
      </c>
      <c r="S6" s="37">
        <v>2001</v>
      </c>
      <c r="T6" s="37">
        <v>2011</v>
      </c>
    </row>
    <row r="7" spans="1:20" s="30" customFormat="1" ht="30.75" customHeight="1">
      <c r="N7" s="36" t="s">
        <v>6</v>
      </c>
      <c r="O7" s="38">
        <v>1058</v>
      </c>
      <c r="P7" s="38">
        <v>1084</v>
      </c>
      <c r="Q7" s="38">
        <v>1059</v>
      </c>
      <c r="R7" s="38">
        <v>1078</v>
      </c>
      <c r="S7" s="38">
        <v>1058</v>
      </c>
      <c r="T7" s="38">
        <v>1091</v>
      </c>
    </row>
    <row r="8" spans="1:20" s="30" customFormat="1" ht="30.75" customHeight="1">
      <c r="N8" s="36" t="s">
        <v>7</v>
      </c>
      <c r="O8" s="38">
        <v>710</v>
      </c>
      <c r="P8" s="38">
        <v>618</v>
      </c>
      <c r="Q8" s="38">
        <v>586</v>
      </c>
      <c r="R8" s="38">
        <v>690</v>
      </c>
      <c r="S8" s="38">
        <v>691</v>
      </c>
      <c r="T8" s="38">
        <v>551</v>
      </c>
    </row>
    <row r="9" spans="1:20" s="30" customFormat="1" ht="23.25" customHeight="1">
      <c r="N9" s="34" t="s">
        <v>8</v>
      </c>
      <c r="O9" s="39">
        <v>4669</v>
      </c>
      <c r="P9" s="70">
        <v>6357.73</v>
      </c>
      <c r="Q9" s="70">
        <v>8946.81</v>
      </c>
      <c r="R9" s="70">
        <v>4425.6400000000003</v>
      </c>
      <c r="S9" s="70">
        <v>5778.75</v>
      </c>
      <c r="T9" s="39">
        <v>9228.94</v>
      </c>
    </row>
    <row r="10" spans="1:20" s="30" customFormat="1" ht="15.75" customHeight="1">
      <c r="N10" s="36"/>
      <c r="O10" s="40"/>
      <c r="P10" s="71"/>
      <c r="Q10" s="71"/>
      <c r="R10" s="71"/>
      <c r="S10" s="71"/>
      <c r="T10" s="40"/>
    </row>
    <row r="11" spans="1:20" s="30" customFormat="1" ht="34.5" customHeight="1">
      <c r="N11" s="41" t="s">
        <v>9</v>
      </c>
      <c r="O11" s="39">
        <v>68.33</v>
      </c>
      <c r="P11" s="39">
        <v>79.73</v>
      </c>
      <c r="Q11" s="39">
        <v>94.58</v>
      </c>
      <c r="R11" s="39">
        <v>66.52</v>
      </c>
      <c r="S11" s="39">
        <v>76.010000000000005</v>
      </c>
      <c r="T11" s="39">
        <v>96.06</v>
      </c>
    </row>
    <row r="12" spans="1:20" s="30" customFormat="1" ht="27" customHeight="1">
      <c r="N12" s="36" t="s">
        <v>10</v>
      </c>
      <c r="O12" s="40"/>
      <c r="P12" s="40"/>
      <c r="Q12" s="40"/>
      <c r="R12" s="40"/>
      <c r="S12" s="40"/>
      <c r="T12" s="40"/>
    </row>
    <row r="13" spans="1:20" s="30" customFormat="1" ht="18" customHeight="1"/>
    <row r="14" spans="1:20" s="30" customFormat="1" ht="15" customHeight="1"/>
    <row r="15" spans="1:20" s="30" customFormat="1" ht="15.75" customHeight="1"/>
    <row r="16" spans="1:20" s="30" customFormat="1"/>
    <row r="17" s="30" customFormat="1"/>
    <row r="18" s="30" customFormat="1"/>
    <row r="19" s="30" customFormat="1"/>
    <row r="20" s="30" customFormat="1"/>
    <row r="21" s="30" customFormat="1"/>
    <row r="22" s="30" customFormat="1"/>
    <row r="23" s="30" customFormat="1"/>
    <row r="24" s="30" customFormat="1"/>
    <row r="25" s="30" customFormat="1"/>
    <row r="26" s="30" customFormat="1"/>
    <row r="27" s="30" customFormat="1"/>
    <row r="28" s="30" customFormat="1"/>
    <row r="29" s="30" customFormat="1"/>
    <row r="30" s="30" customFormat="1"/>
    <row r="31" s="30" customFormat="1"/>
    <row r="32" s="30" customFormat="1"/>
    <row r="33" s="30" customFormat="1"/>
    <row r="34" s="30" customFormat="1"/>
    <row r="35" s="30" customFormat="1"/>
    <row r="36" s="30" customFormat="1"/>
    <row r="37" s="30" customFormat="1"/>
    <row r="38" s="30" customFormat="1"/>
    <row r="39" s="30" customFormat="1"/>
    <row r="40" s="30" customFormat="1"/>
    <row r="41" s="30" customFormat="1"/>
    <row r="42" s="30" customFormat="1"/>
    <row r="43" s="30" customFormat="1"/>
    <row r="44" s="30" customFormat="1"/>
    <row r="45" s="30" customFormat="1"/>
    <row r="46" s="30" customFormat="1"/>
    <row r="47" s="30" customFormat="1"/>
    <row r="48" s="30" customFormat="1"/>
    <row r="49" s="30" customFormat="1"/>
    <row r="50" s="30" customFormat="1"/>
    <row r="51" s="30" customFormat="1"/>
    <row r="52" s="30" customFormat="1"/>
    <row r="53" s="30" customFormat="1"/>
    <row r="54" s="30" customFormat="1"/>
    <row r="55" s="30" customFormat="1"/>
    <row r="56" s="30" customFormat="1"/>
    <row r="57" s="30" customFormat="1"/>
    <row r="58" s="30" customFormat="1"/>
    <row r="59" s="30" customFormat="1"/>
    <row r="60" s="30" customFormat="1"/>
    <row r="61" s="30" customFormat="1"/>
    <row r="62" s="30" customFormat="1"/>
    <row r="63" s="30" customFormat="1"/>
    <row r="64" s="30" customFormat="1"/>
    <row r="65" s="30" customFormat="1"/>
    <row r="66" s="30" customFormat="1"/>
    <row r="67" s="30" customFormat="1"/>
    <row r="68" s="30" customFormat="1"/>
    <row r="69" s="30" customFormat="1"/>
    <row r="70" s="30" customFormat="1"/>
    <row r="71" s="30" customFormat="1"/>
    <row r="72" s="30" customFormat="1"/>
    <row r="73" s="30" customFormat="1"/>
    <row r="74" s="30" customFormat="1"/>
    <row r="75" s="30" customFormat="1"/>
    <row r="76" s="30" customFormat="1"/>
    <row r="77" s="30" customFormat="1"/>
    <row r="78" s="30" customFormat="1"/>
    <row r="79" s="30" customFormat="1"/>
    <row r="80" s="30" customFormat="1"/>
    <row r="81" s="30" customFormat="1"/>
    <row r="82" s="30" customFormat="1"/>
    <row r="83" s="30" customFormat="1"/>
    <row r="84" s="30" customFormat="1"/>
    <row r="85" s="30" customFormat="1"/>
    <row r="86" s="30" customFormat="1"/>
    <row r="87" s="30" customFormat="1"/>
    <row r="88" s="30" customFormat="1"/>
    <row r="89" s="30" customFormat="1"/>
    <row r="90" s="30" customFormat="1"/>
    <row r="91" s="30" customFormat="1"/>
    <row r="92" s="30" customFormat="1"/>
    <row r="93" s="30" customFormat="1"/>
    <row r="94" s="30" customFormat="1"/>
    <row r="95" s="30" customFormat="1"/>
    <row r="96" s="30" customFormat="1"/>
    <row r="97" s="30" customFormat="1"/>
    <row r="98" s="30" customFormat="1"/>
    <row r="99" s="30" customFormat="1"/>
    <row r="100" s="30" customFormat="1"/>
    <row r="101" s="30" customFormat="1"/>
    <row r="102" s="30" customFormat="1"/>
    <row r="103" s="30" customFormat="1"/>
    <row r="104" s="30" customFormat="1"/>
    <row r="105" s="30" customFormat="1"/>
    <row r="106" s="30" customFormat="1"/>
    <row r="107" s="30" customFormat="1"/>
    <row r="108" s="30" customFormat="1"/>
    <row r="109" s="30" customFormat="1"/>
    <row r="110" s="30" customFormat="1"/>
    <row r="111" s="30" customFormat="1"/>
    <row r="112" s="30" customFormat="1"/>
    <row r="113" spans="14:15" s="30" customFormat="1"/>
    <row r="114" spans="14:15" s="30" customFormat="1"/>
    <row r="115" spans="14:15" s="30" customFormat="1"/>
    <row r="116" spans="14:15" s="30" customFormat="1"/>
    <row r="117" spans="14:15" s="30" customFormat="1" ht="22.2">
      <c r="N117" s="42" t="s">
        <v>11</v>
      </c>
      <c r="O117" s="42">
        <f>SUM(Table5[D^2])</f>
        <v>6732</v>
      </c>
    </row>
    <row r="118" spans="14:15" s="30" customFormat="1" ht="22.2">
      <c r="N118" s="42" t="s">
        <v>12</v>
      </c>
      <c r="O118" s="42">
        <f>6*6732</f>
        <v>40392</v>
      </c>
    </row>
    <row r="119" spans="14:15" s="30" customFormat="1" ht="22.2">
      <c r="N119" s="42" t="s">
        <v>13</v>
      </c>
      <c r="O119" s="42">
        <v>42840</v>
      </c>
    </row>
    <row r="120" spans="14:15" s="30" customFormat="1" ht="22.2">
      <c r="N120" s="42" t="s">
        <v>14</v>
      </c>
      <c r="O120" s="43">
        <f>40392/42840</f>
        <v>0.94285714285714284</v>
      </c>
    </row>
    <row r="121" spans="14:15" s="30" customFormat="1" ht="22.2">
      <c r="N121" s="42" t="s">
        <v>15</v>
      </c>
      <c r="O121" s="42">
        <f>1-0.94285</f>
        <v>5.7150000000000034E-2</v>
      </c>
    </row>
    <row r="122" spans="14:15" s="30" customFormat="1" ht="22.2">
      <c r="N122" s="42"/>
      <c r="O122" s="42" t="s">
        <v>16</v>
      </c>
    </row>
    <row r="123" spans="14:15" s="30" customFormat="1"/>
    <row r="124" spans="14:15" s="30" customFormat="1" ht="17.399999999999999">
      <c r="N124" s="44" t="s">
        <v>17</v>
      </c>
      <c r="O124" s="45" t="s">
        <v>18</v>
      </c>
    </row>
    <row r="125" spans="14:15" s="30" customFormat="1" ht="22.2">
      <c r="N125" s="46" t="s">
        <v>19</v>
      </c>
      <c r="O125" s="47" t="s">
        <v>20</v>
      </c>
    </row>
    <row r="126" spans="14:15" s="30" customFormat="1" ht="22.2">
      <c r="N126" s="46" t="s">
        <v>21</v>
      </c>
      <c r="O126" s="47" t="s">
        <v>22</v>
      </c>
    </row>
    <row r="127" spans="14:15" s="30" customFormat="1" ht="22.2">
      <c r="N127" s="46" t="s">
        <v>23</v>
      </c>
      <c r="O127" s="47" t="s">
        <v>24</v>
      </c>
    </row>
    <row r="128" spans="14:15" s="30" customFormat="1" ht="22.2">
      <c r="N128" s="46" t="s">
        <v>25</v>
      </c>
      <c r="O128" s="47" t="s">
        <v>26</v>
      </c>
    </row>
    <row r="129" spans="14:15" s="30" customFormat="1" ht="22.2">
      <c r="N129" s="46" t="s">
        <v>27</v>
      </c>
      <c r="O129" s="47" t="s">
        <v>28</v>
      </c>
    </row>
    <row r="130" spans="14:15" s="30" customFormat="1" ht="22.2">
      <c r="N130" s="48"/>
      <c r="O130" s="49"/>
    </row>
    <row r="131" spans="14:15" s="30" customFormat="1" ht="22.2">
      <c r="N131" s="50"/>
      <c r="O131" s="51"/>
    </row>
    <row r="132" spans="14:15" s="30" customFormat="1"/>
    <row r="133" spans="14:15" s="30" customFormat="1"/>
    <row r="134" spans="14:15" s="30" customFormat="1"/>
    <row r="135" spans="14:15" s="30" customFormat="1"/>
    <row r="136" spans="14:15" s="30" customFormat="1"/>
    <row r="137" spans="14:15" s="30" customFormat="1"/>
    <row r="138" spans="14:15" s="30" customFormat="1"/>
    <row r="139" spans="14:15" s="30" customFormat="1"/>
    <row r="140" spans="14:15" s="30" customFormat="1"/>
    <row r="141" spans="14:15" s="30" customFormat="1" ht="8.25" customHeight="1"/>
    <row r="142" spans="14:15" s="30" customFormat="1"/>
    <row r="143" spans="14:15" s="30" customFormat="1" ht="22.2">
      <c r="N143" s="42"/>
      <c r="O143" s="42" t="s">
        <v>29</v>
      </c>
    </row>
    <row r="144" spans="14:15" s="30" customFormat="1" ht="22.2">
      <c r="N144" s="42" t="s">
        <v>11</v>
      </c>
      <c r="O144" s="42">
        <v>8632</v>
      </c>
    </row>
    <row r="145" spans="14:15" s="30" customFormat="1" ht="22.2">
      <c r="N145" s="42" t="s">
        <v>30</v>
      </c>
      <c r="O145" s="42">
        <v>51792</v>
      </c>
    </row>
    <row r="146" spans="14:15" s="30" customFormat="1" ht="22.2">
      <c r="N146" s="42" t="s">
        <v>31</v>
      </c>
      <c r="O146" s="42">
        <v>42840</v>
      </c>
    </row>
    <row r="147" spans="14:15" s="30" customFormat="1" ht="36.75" customHeight="1">
      <c r="N147" s="42" t="s">
        <v>14</v>
      </c>
      <c r="O147" s="42">
        <v>1.20896358543417</v>
      </c>
    </row>
    <row r="148" spans="14:15" s="30" customFormat="1" ht="22.2">
      <c r="N148" s="42" t="s">
        <v>15</v>
      </c>
      <c r="O148" s="42">
        <v>-0.2089</v>
      </c>
    </row>
    <row r="149" spans="14:15" s="30" customFormat="1" ht="22.2">
      <c r="N149" s="42"/>
      <c r="O149" s="42" t="s">
        <v>32</v>
      </c>
    </row>
    <row r="150" spans="14:15" s="30" customFormat="1"/>
    <row r="151" spans="14:15" s="30" customFormat="1"/>
    <row r="152" spans="14:15" s="30" customFormat="1"/>
    <row r="153" spans="14:15" s="30" customFormat="1"/>
    <row r="154" spans="14:15" s="30" customFormat="1"/>
    <row r="155" spans="14:15" s="30" customFormat="1"/>
    <row r="156" spans="14:15" s="30" customFormat="1" ht="30.75" customHeight="1"/>
    <row r="157" spans="14:15" s="30" customFormat="1"/>
    <row r="158" spans="14:15" s="30" customFormat="1"/>
    <row r="159" spans="14:15" s="30" customFormat="1"/>
    <row r="160" spans="14:15" s="30" customFormat="1"/>
    <row r="161" s="30" customFormat="1"/>
    <row r="162" s="30" customFormat="1"/>
    <row r="163" s="30" customFormat="1"/>
    <row r="164" s="30" customFormat="1"/>
    <row r="165" s="31" customFormat="1"/>
    <row r="166" s="31" customFormat="1"/>
    <row r="167" s="31" customFormat="1"/>
    <row r="168" s="31" customFormat="1"/>
    <row r="169" s="31" customFormat="1"/>
    <row r="170" s="31" customFormat="1"/>
    <row r="171" s="31" customFormat="1"/>
    <row r="172" s="31" customFormat="1"/>
    <row r="173" s="31" customFormat="1"/>
    <row r="174" s="31" customFormat="1"/>
    <row r="175" s="31" customFormat="1"/>
    <row r="176" s="31" customFormat="1"/>
    <row r="177" s="31" customFormat="1"/>
    <row r="178" s="31" customFormat="1"/>
    <row r="179" s="31" customFormat="1"/>
    <row r="180" s="31" customFormat="1"/>
    <row r="181" s="31" customFormat="1"/>
    <row r="182" s="31" customFormat="1"/>
    <row r="183" s="31" customFormat="1"/>
    <row r="184" s="31" customFormat="1"/>
    <row r="185" s="31" customFormat="1"/>
    <row r="186" s="31" customFormat="1"/>
    <row r="187" s="31" customFormat="1"/>
    <row r="188" s="31" customFormat="1"/>
    <row r="189" s="31" customFormat="1"/>
    <row r="190" s="31" customFormat="1"/>
    <row r="191" s="31" customFormat="1"/>
    <row r="192" s="31" customFormat="1"/>
    <row r="193" s="31" customFormat="1"/>
    <row r="194" s="31" customFormat="1"/>
    <row r="195" s="31" customFormat="1"/>
    <row r="196" s="31" customFormat="1"/>
    <row r="197" s="31" customFormat="1"/>
    <row r="198" s="31" customFormat="1"/>
    <row r="199" s="31" customFormat="1"/>
    <row r="200" s="31" customFormat="1"/>
    <row r="201" s="31" customFormat="1"/>
    <row r="202" s="31" customFormat="1"/>
    <row r="203" s="31" customFormat="1"/>
    <row r="204" s="31" customFormat="1"/>
    <row r="205" s="31" customFormat="1"/>
    <row r="206" s="31" customFormat="1"/>
    <row r="207" s="31" customFormat="1"/>
    <row r="208" s="31" customFormat="1"/>
    <row r="209" s="31" customFormat="1"/>
    <row r="210" s="31" customFormat="1"/>
    <row r="211" s="31" customFormat="1"/>
    <row r="212" s="31" customFormat="1"/>
    <row r="213" s="31" customFormat="1"/>
    <row r="214" s="31" customFormat="1"/>
    <row r="215" s="31" customFormat="1"/>
    <row r="216" s="31" customFormat="1"/>
    <row r="217" s="31" customFormat="1"/>
    <row r="218" s="31" customFormat="1"/>
    <row r="219" s="31" customFormat="1"/>
    <row r="220" s="31" customFormat="1"/>
    <row r="221" s="31" customFormat="1"/>
    <row r="222" s="31" customFormat="1"/>
    <row r="223" s="31" customFormat="1"/>
    <row r="224" s="31" customFormat="1"/>
    <row r="225" s="31" customFormat="1"/>
    <row r="226" s="31" customFormat="1"/>
    <row r="227" s="31" customFormat="1"/>
    <row r="228" s="31" customFormat="1"/>
    <row r="229" s="31" customFormat="1"/>
    <row r="230" s="31" customFormat="1"/>
    <row r="231" s="31" customFormat="1"/>
    <row r="232" s="31" customFormat="1"/>
    <row r="233" s="31" customFormat="1"/>
    <row r="234" s="31" customFormat="1"/>
    <row r="235" s="31" customFormat="1"/>
    <row r="236" s="31" customFormat="1"/>
    <row r="237" s="31" customFormat="1"/>
    <row r="238" s="31" customFormat="1"/>
    <row r="239" s="31" customFormat="1"/>
    <row r="240" s="31" customFormat="1"/>
    <row r="241" s="31" customFormat="1"/>
    <row r="242" s="31" customFormat="1"/>
    <row r="243" s="31" customFormat="1"/>
    <row r="244" s="31" customFormat="1"/>
    <row r="245" s="31" customFormat="1"/>
    <row r="246" s="31" customFormat="1"/>
    <row r="247" s="31" customFormat="1"/>
    <row r="248" s="31" customFormat="1"/>
    <row r="249" s="31" customFormat="1"/>
    <row r="250" s="31" customFormat="1"/>
    <row r="251" s="31" customFormat="1"/>
    <row r="252" s="31" customFormat="1"/>
    <row r="253" s="31" customFormat="1"/>
    <row r="254" s="31" customFormat="1"/>
    <row r="255" s="31" customFormat="1"/>
    <row r="256" s="31" customFormat="1"/>
    <row r="257" s="31" customFormat="1"/>
    <row r="258" s="31" customFormat="1"/>
    <row r="259" s="31" customFormat="1"/>
    <row r="260" s="31" customFormat="1"/>
    <row r="261" s="31" customFormat="1"/>
    <row r="262" s="31" customFormat="1"/>
    <row r="263" s="31" customFormat="1"/>
    <row r="264" s="31" customFormat="1"/>
    <row r="265" s="31" customFormat="1"/>
    <row r="266" s="31" customFormat="1"/>
    <row r="267" s="31" customFormat="1"/>
    <row r="268" s="31" customFormat="1"/>
    <row r="269" s="31" customFormat="1"/>
    <row r="270" s="31" customFormat="1"/>
    <row r="271" s="31" customFormat="1"/>
    <row r="272" s="31" customFormat="1"/>
    <row r="273" s="31" customFormat="1"/>
    <row r="274" s="31" customFormat="1"/>
    <row r="275" s="31" customFormat="1"/>
    <row r="276" s="31" customFormat="1"/>
    <row r="277" s="31" customFormat="1"/>
    <row r="278" s="31" customFormat="1"/>
    <row r="279" s="31" customFormat="1"/>
    <row r="280" s="31" customFormat="1"/>
    <row r="281" s="31" customFormat="1"/>
    <row r="282" s="31" customFormat="1"/>
    <row r="283" s="31" customFormat="1"/>
    <row r="284" s="31" customFormat="1"/>
    <row r="285" s="31" customFormat="1"/>
    <row r="286" s="31" customFormat="1"/>
    <row r="287" s="31" customFormat="1"/>
    <row r="288" s="31" customFormat="1"/>
    <row r="289" s="31" customFormat="1"/>
    <row r="290" s="31" customFormat="1"/>
    <row r="291" s="31" customFormat="1"/>
    <row r="292" s="31" customFormat="1"/>
    <row r="293" s="31" customFormat="1"/>
    <row r="294" s="31" customFormat="1"/>
    <row r="295" s="31" customFormat="1"/>
    <row r="296" s="31" customFormat="1"/>
    <row r="297" s="31" customFormat="1"/>
    <row r="298" s="31" customFormat="1"/>
    <row r="299" s="31" customFormat="1"/>
    <row r="300" s="31" customFormat="1"/>
    <row r="301" s="31" customFormat="1"/>
    <row r="302" s="31" customFormat="1"/>
    <row r="303" s="31" customFormat="1"/>
    <row r="304" s="31" customFormat="1"/>
    <row r="305" s="31" customFormat="1"/>
    <row r="306" s="31" customFormat="1"/>
    <row r="307" s="31" customFormat="1"/>
    <row r="308" s="31" customFormat="1"/>
    <row r="309" s="31" customFormat="1"/>
    <row r="310" s="31" customFormat="1"/>
    <row r="311" s="31" customFormat="1"/>
    <row r="312" s="31" customFormat="1"/>
    <row r="313" s="31" customFormat="1"/>
    <row r="314" s="31" customFormat="1"/>
    <row r="315" s="31" customFormat="1"/>
    <row r="316" s="31" customFormat="1"/>
    <row r="317" s="31" customFormat="1"/>
    <row r="318" s="31" customFormat="1"/>
    <row r="319" s="31" customFormat="1"/>
    <row r="320" s="31" customFormat="1"/>
    <row r="321" s="31" customFormat="1"/>
    <row r="322" s="31" customFormat="1"/>
    <row r="323" s="31" customFormat="1"/>
    <row r="324" s="31" customFormat="1"/>
    <row r="325" s="31" customFormat="1"/>
    <row r="326" s="31" customFormat="1"/>
    <row r="327" s="31" customFormat="1"/>
    <row r="328" s="31" customFormat="1"/>
    <row r="329" s="31" customFormat="1"/>
    <row r="330" s="31" customFormat="1"/>
    <row r="331" s="31" customFormat="1"/>
    <row r="332" s="31" customFormat="1"/>
    <row r="333" s="31" customFormat="1"/>
    <row r="334" s="31" customFormat="1"/>
    <row r="335" s="31" customFormat="1"/>
    <row r="336" s="31" customFormat="1"/>
    <row r="337" s="31" customFormat="1"/>
    <row r="338" s="31" customFormat="1"/>
    <row r="339" s="31" customFormat="1"/>
    <row r="340" s="31" customFormat="1"/>
    <row r="341" s="31" customFormat="1"/>
    <row r="342" s="31" customFormat="1"/>
    <row r="343" s="31" customFormat="1"/>
    <row r="344" s="31" customFormat="1"/>
    <row r="345" s="31" customFormat="1"/>
    <row r="346" s="31" customFormat="1"/>
    <row r="347" s="31" customFormat="1"/>
    <row r="348" s="31" customFormat="1"/>
    <row r="349" s="31" customFormat="1"/>
    <row r="350" s="31" customFormat="1"/>
    <row r="351" s="31" customFormat="1"/>
    <row r="352" s="31" customFormat="1"/>
    <row r="353" s="31" customFormat="1"/>
    <row r="354" s="31" customFormat="1"/>
    <row r="355" s="31" customFormat="1"/>
    <row r="356" s="31" customFormat="1"/>
    <row r="357" s="31" customFormat="1"/>
    <row r="358" s="31" customFormat="1"/>
    <row r="359" s="31" customFormat="1"/>
    <row r="360" s="31" customFormat="1"/>
    <row r="361" s="31" customFormat="1"/>
    <row r="362" s="31" customFormat="1"/>
    <row r="363" s="31" customFormat="1"/>
    <row r="364" s="31" customFormat="1"/>
    <row r="365" s="31" customFormat="1"/>
    <row r="366" s="31" customFormat="1"/>
    <row r="367" s="31" customFormat="1"/>
    <row r="368" s="31" customFormat="1"/>
    <row r="369" s="31" customFormat="1"/>
    <row r="370" s="31" customFormat="1"/>
    <row r="371" s="31" customFormat="1"/>
    <row r="372" s="31" customFormat="1"/>
    <row r="373" s="31" customFormat="1"/>
    <row r="374" s="31" customFormat="1"/>
    <row r="375" s="31" customFormat="1"/>
    <row r="376" s="31" customFormat="1"/>
    <row r="377" s="31" customFormat="1"/>
    <row r="378" s="31" customFormat="1"/>
    <row r="379" s="31" customFormat="1"/>
    <row r="380" s="31" customFormat="1"/>
    <row r="381" s="31" customFormat="1"/>
    <row r="382" s="31" customFormat="1"/>
    <row r="383" s="31" customFormat="1"/>
    <row r="384" s="31" customFormat="1"/>
    <row r="385" s="31" customFormat="1"/>
    <row r="386" s="31" customFormat="1"/>
    <row r="387" s="31" customFormat="1"/>
    <row r="388" s="31" customFormat="1"/>
    <row r="389" s="31" customFormat="1"/>
    <row r="390" s="31" customFormat="1"/>
    <row r="391" s="31" customFormat="1"/>
    <row r="392" s="31" customFormat="1"/>
    <row r="393" s="31" customFormat="1"/>
    <row r="394" s="31" customFormat="1"/>
    <row r="395" s="31" customFormat="1"/>
    <row r="396" s="31" customFormat="1"/>
    <row r="397" s="31" customFormat="1"/>
    <row r="398" s="31" customFormat="1"/>
    <row r="399" s="31" customFormat="1"/>
    <row r="400" s="31" customFormat="1"/>
    <row r="401" s="31" customFormat="1"/>
    <row r="402" s="31" customFormat="1"/>
    <row r="403" s="31" customFormat="1"/>
    <row r="404" s="31" customFormat="1"/>
    <row r="405" s="31" customFormat="1"/>
    <row r="406" s="31" customFormat="1"/>
    <row r="407" s="31" customFormat="1"/>
    <row r="408" s="31" customFormat="1"/>
    <row r="409" s="31" customFormat="1"/>
    <row r="410" s="31" customFormat="1"/>
    <row r="411" s="31" customFormat="1"/>
    <row r="412" s="31" customFormat="1"/>
    <row r="413" s="31" customFormat="1"/>
    <row r="414" s="31" customFormat="1"/>
    <row r="415" s="31" customFormat="1"/>
    <row r="416" s="31" customFormat="1"/>
    <row r="417" s="31" customFormat="1"/>
    <row r="418" s="31" customFormat="1"/>
    <row r="419" s="31" customFormat="1"/>
    <row r="420" s="31" customFormat="1"/>
    <row r="421" s="31" customFormat="1"/>
    <row r="422" s="31" customFormat="1"/>
    <row r="423" s="31" customFormat="1"/>
    <row r="424" s="31" customFormat="1"/>
    <row r="425" s="31" customFormat="1"/>
    <row r="426" s="31" customFormat="1"/>
    <row r="427" s="31" customFormat="1"/>
    <row r="428" s="31" customFormat="1"/>
    <row r="429" s="31" customFormat="1"/>
    <row r="430" s="31" customFormat="1"/>
    <row r="431" s="31" customFormat="1"/>
    <row r="432" s="31" customFormat="1"/>
    <row r="433" s="31" customFormat="1"/>
    <row r="434" s="31" customFormat="1"/>
    <row r="435" s="31" customFormat="1"/>
    <row r="436" s="31" customFormat="1"/>
    <row r="437" s="31" customFormat="1"/>
    <row r="438" s="31" customFormat="1"/>
    <row r="439" s="31" customFormat="1"/>
    <row r="440" s="31" customFormat="1"/>
    <row r="441" s="31" customFormat="1"/>
    <row r="442" s="31" customFormat="1"/>
    <row r="443" s="31" customFormat="1"/>
    <row r="444" s="31" customFormat="1"/>
    <row r="445" s="31" customFormat="1"/>
    <row r="446" s="31" customFormat="1"/>
    <row r="447" s="31" customFormat="1"/>
    <row r="448" s="31" customFormat="1"/>
    <row r="449" s="31" customFormat="1"/>
    <row r="450" s="31" customFormat="1"/>
    <row r="451" s="31" customFormat="1"/>
    <row r="452" s="31" customFormat="1"/>
    <row r="453" s="31" customFormat="1"/>
    <row r="454" s="31" customFormat="1"/>
    <row r="455" s="31" customFormat="1"/>
    <row r="456" s="31" customFormat="1"/>
    <row r="457" s="31" customFormat="1"/>
    <row r="458" s="31" customFormat="1"/>
    <row r="459" s="31" customFormat="1"/>
    <row r="460" s="31" customFormat="1"/>
    <row r="461" s="31" customFormat="1"/>
    <row r="462" s="31" customFormat="1"/>
    <row r="463" s="31" customFormat="1"/>
    <row r="464" s="31" customFormat="1"/>
    <row r="465" s="31" customFormat="1"/>
    <row r="466" s="31" customFormat="1"/>
    <row r="467" s="31" customFormat="1"/>
    <row r="468" s="31" customFormat="1"/>
    <row r="469" s="31" customFormat="1"/>
    <row r="470" s="31" customFormat="1"/>
    <row r="471" s="31" customFormat="1"/>
    <row r="472" s="31" customFormat="1"/>
    <row r="473" s="31" customFormat="1"/>
    <row r="474" s="31" customFormat="1"/>
    <row r="475" s="31" customFormat="1"/>
    <row r="476" s="31" customFormat="1"/>
    <row r="477" s="31" customFormat="1"/>
    <row r="478" s="31" customFormat="1"/>
    <row r="479" s="31" customFormat="1"/>
    <row r="480" s="31" customFormat="1"/>
    <row r="481" s="31" customFormat="1"/>
    <row r="482" s="31" customFormat="1"/>
    <row r="483" s="31" customFormat="1"/>
    <row r="484" s="31" customFormat="1"/>
    <row r="485" s="31" customFormat="1"/>
    <row r="486" s="31" customFormat="1"/>
    <row r="487" s="31" customFormat="1"/>
    <row r="488" s="31" customFormat="1"/>
    <row r="489" s="31" customFormat="1"/>
    <row r="490" s="31" customFormat="1"/>
    <row r="491" s="31" customFormat="1"/>
    <row r="492" s="31" customFormat="1"/>
    <row r="493" s="31" customFormat="1"/>
    <row r="494" s="31" customFormat="1"/>
    <row r="495" s="31" customFormat="1"/>
    <row r="496" s="31" customFormat="1"/>
    <row r="497" s="31" customFormat="1"/>
    <row r="498" s="31" customFormat="1"/>
    <row r="499" s="31" customFormat="1"/>
    <row r="500" s="31" customFormat="1"/>
    <row r="501" s="31" customFormat="1"/>
    <row r="502" s="31" customFormat="1"/>
    <row r="503" s="31" customFormat="1"/>
    <row r="504" s="31" customFormat="1"/>
    <row r="505" s="31" customFormat="1"/>
    <row r="506" s="31" customFormat="1"/>
    <row r="507" s="31" customFormat="1"/>
    <row r="508" s="31" customFormat="1"/>
    <row r="509" s="31" customFormat="1"/>
    <row r="510" s="31" customFormat="1"/>
    <row r="511" s="31" customFormat="1"/>
    <row r="512" s="31" customFormat="1"/>
    <row r="513" s="31" customFormat="1"/>
    <row r="514" s="31" customFormat="1"/>
    <row r="515" s="31" customFormat="1"/>
    <row r="516" s="31" customFormat="1"/>
    <row r="517" s="31" customFormat="1"/>
    <row r="518" s="31" customFormat="1"/>
    <row r="519" s="31" customFormat="1"/>
    <row r="520" s="31" customFormat="1"/>
    <row r="521" s="31" customFormat="1"/>
    <row r="522" s="31" customFormat="1"/>
    <row r="523" s="31" customFormat="1"/>
    <row r="524" s="31" customFormat="1"/>
    <row r="525" s="31" customFormat="1"/>
    <row r="526" s="31" customFormat="1"/>
    <row r="527" s="31" customFormat="1"/>
    <row r="528" s="31" customFormat="1"/>
    <row r="529" s="31" customFormat="1"/>
    <row r="530" s="31" customFormat="1"/>
    <row r="531" s="31" customFormat="1"/>
    <row r="532" s="31" customFormat="1"/>
    <row r="533" s="31" customFormat="1"/>
    <row r="534" s="31" customFormat="1"/>
    <row r="535" s="31" customFormat="1"/>
    <row r="536" s="31" customFormat="1"/>
    <row r="537" s="31" customFormat="1"/>
    <row r="538" s="31" customFormat="1"/>
    <row r="539" s="31" customFormat="1"/>
    <row r="540" s="31" customFormat="1"/>
    <row r="541" s="31" customFormat="1"/>
    <row r="542" s="31" customFormat="1"/>
    <row r="543" s="31" customFormat="1"/>
    <row r="544" s="31" customFormat="1"/>
    <row r="545" s="31" customFormat="1"/>
    <row r="546" s="31" customFormat="1"/>
    <row r="547" s="31" customFormat="1"/>
    <row r="548" s="31" customFormat="1"/>
    <row r="549" s="31" customFormat="1"/>
    <row r="550" s="31" customFormat="1"/>
    <row r="551" s="31" customFormat="1"/>
    <row r="552" s="31" customFormat="1"/>
    <row r="553" s="31" customFormat="1"/>
    <row r="554" s="31" customFormat="1"/>
    <row r="555" s="31" customFormat="1"/>
    <row r="556" s="31" customFormat="1"/>
    <row r="557" s="31" customFormat="1"/>
    <row r="558" s="31" customFormat="1"/>
    <row r="559" s="31" customFormat="1"/>
    <row r="560" s="31" customFormat="1"/>
    <row r="561" s="31" customFormat="1"/>
    <row r="562" s="31" customFormat="1"/>
    <row r="563" s="31" customFormat="1"/>
    <row r="564" s="31" customFormat="1"/>
    <row r="565" s="31" customFormat="1"/>
    <row r="566" s="31" customFormat="1"/>
    <row r="567" s="31" customFormat="1"/>
    <row r="568" s="31" customFormat="1"/>
    <row r="569" s="31" customFormat="1"/>
    <row r="570" s="31" customFormat="1"/>
    <row r="571" s="31" customFormat="1"/>
    <row r="572" s="31" customFormat="1"/>
    <row r="573" s="31" customFormat="1"/>
    <row r="574" s="31" customFormat="1"/>
    <row r="575" s="31" customFormat="1"/>
    <row r="576" s="31" customFormat="1"/>
    <row r="577" s="31" customFormat="1"/>
    <row r="578" s="31" customFormat="1"/>
    <row r="579" s="31" customFormat="1"/>
    <row r="580" s="31" customFormat="1"/>
    <row r="581" s="31" customFormat="1"/>
    <row r="582" s="31" customFormat="1"/>
    <row r="583" s="31" customFormat="1"/>
    <row r="584" s="31" customFormat="1"/>
    <row r="585" s="31" customFormat="1"/>
    <row r="586" s="31" customFormat="1"/>
    <row r="587" s="31" customFormat="1"/>
    <row r="588" s="31" customFormat="1"/>
    <row r="589" s="31" customFormat="1"/>
    <row r="590" s="31" customFormat="1"/>
    <row r="591" s="31" customFormat="1"/>
    <row r="592" s="31" customFormat="1"/>
    <row r="593" s="31" customFormat="1"/>
    <row r="594" s="31" customFormat="1"/>
    <row r="595" s="31" customFormat="1"/>
    <row r="596" s="31" customFormat="1"/>
    <row r="597" s="31" customFormat="1"/>
    <row r="598" s="31" customFormat="1"/>
    <row r="599" s="31" customFormat="1"/>
    <row r="600" s="31" customFormat="1"/>
    <row r="601" s="31" customFormat="1"/>
    <row r="602" s="31" customFormat="1"/>
    <row r="603" s="31" customFormat="1"/>
    <row r="604" s="31" customFormat="1"/>
    <row r="605" s="31" customFormat="1"/>
    <row r="606" s="31" customFormat="1"/>
    <row r="607" s="31" customFormat="1"/>
    <row r="608" s="31" customFormat="1"/>
    <row r="609" s="31" customFormat="1"/>
    <row r="610" s="31" customFormat="1"/>
    <row r="611" s="31" customFormat="1"/>
    <row r="612" s="31" customFormat="1"/>
    <row r="613" s="31" customFormat="1"/>
    <row r="614" s="31" customFormat="1"/>
    <row r="615" s="31" customFormat="1"/>
    <row r="616" s="31" customFormat="1"/>
    <row r="617" s="31" customFormat="1"/>
    <row r="618" s="31" customFormat="1"/>
    <row r="619" s="31" customFormat="1"/>
    <row r="620" s="31" customFormat="1"/>
    <row r="621" s="31" customFormat="1"/>
    <row r="622" s="31" customFormat="1"/>
    <row r="623" s="31" customFormat="1"/>
    <row r="624" s="31" customFormat="1"/>
    <row r="625" s="31" customFormat="1"/>
    <row r="626" s="31" customFormat="1"/>
    <row r="627" s="31" customFormat="1"/>
    <row r="628" s="31" customFormat="1"/>
    <row r="629" s="31" customFormat="1"/>
    <row r="630" s="31" customFormat="1"/>
    <row r="631" s="31" customFormat="1"/>
    <row r="632" s="31" customFormat="1"/>
    <row r="633" s="31" customFormat="1"/>
    <row r="634" s="31" customFormat="1"/>
    <row r="635" s="31" customFormat="1"/>
    <row r="636" s="31" customFormat="1"/>
    <row r="637" s="31" customFormat="1"/>
    <row r="638" s="31" customFormat="1"/>
    <row r="639" s="31" customFormat="1"/>
    <row r="640" s="31" customFormat="1"/>
    <row r="641" s="31" customFormat="1"/>
    <row r="642" s="31" customFormat="1"/>
    <row r="643" s="31" customFormat="1"/>
    <row r="644" s="31" customFormat="1"/>
    <row r="645" s="31" customFormat="1"/>
    <row r="646" s="31" customFormat="1"/>
    <row r="647" s="31" customFormat="1"/>
    <row r="648" s="31" customFormat="1"/>
    <row r="649" s="31" customFormat="1"/>
    <row r="650" s="31" customFormat="1"/>
    <row r="651" s="31" customFormat="1"/>
    <row r="652" s="31" customFormat="1"/>
    <row r="653" s="31" customFormat="1"/>
    <row r="654" s="31" customFormat="1"/>
    <row r="655" s="31" customFormat="1"/>
    <row r="656" s="31" customFormat="1"/>
    <row r="657" s="31" customFormat="1"/>
    <row r="658" s="31" customFormat="1"/>
    <row r="659" s="31" customFormat="1"/>
    <row r="660" s="31" customFormat="1"/>
    <row r="661" s="31" customFormat="1"/>
    <row r="662" s="31" customFormat="1"/>
    <row r="663" s="31" customFormat="1"/>
    <row r="664" s="31" customFormat="1"/>
    <row r="665" s="31" customFormat="1"/>
    <row r="666" s="31" customFormat="1"/>
    <row r="667" s="31" customFormat="1"/>
    <row r="668" s="31" customFormat="1"/>
    <row r="669" s="31" customFormat="1"/>
    <row r="670" s="31" customFormat="1"/>
    <row r="671" s="31" customFormat="1"/>
    <row r="672" s="31" customFormat="1"/>
    <row r="673" s="31" customFormat="1"/>
    <row r="674" s="31" customFormat="1"/>
    <row r="675" s="31" customFormat="1"/>
    <row r="676" s="31" customFormat="1"/>
    <row r="677" s="31" customFormat="1"/>
    <row r="678" s="31" customFormat="1"/>
    <row r="679" s="31" customFormat="1"/>
    <row r="680" s="31" customFormat="1"/>
    <row r="681" s="31" customFormat="1"/>
    <row r="682" s="31" customFormat="1"/>
    <row r="683" s="31" customFormat="1"/>
    <row r="684" s="31" customFormat="1"/>
    <row r="685" s="31" customFormat="1"/>
    <row r="686" s="31" customFormat="1"/>
    <row r="687" s="31" customFormat="1"/>
    <row r="688" s="31" customFormat="1"/>
    <row r="689" s="31" customFormat="1"/>
    <row r="690" s="31" customFormat="1"/>
    <row r="691" s="31" customFormat="1"/>
    <row r="692" s="31" customFormat="1"/>
    <row r="693" s="31" customFormat="1"/>
    <row r="694" s="31" customFormat="1"/>
    <row r="695" s="31" customFormat="1"/>
    <row r="696" s="31" customFormat="1"/>
    <row r="697" s="31" customFormat="1"/>
    <row r="698" s="31" customFormat="1"/>
    <row r="699" s="31" customFormat="1"/>
    <row r="700" s="31" customFormat="1"/>
    <row r="701" s="31" customFormat="1"/>
    <row r="702" s="31" customFormat="1"/>
    <row r="703" s="31" customFormat="1"/>
    <row r="704" s="31" customFormat="1"/>
    <row r="705" s="31" customFormat="1"/>
    <row r="706" s="31" customFormat="1"/>
    <row r="707" s="31" customFormat="1"/>
    <row r="708" s="31" customFormat="1"/>
    <row r="709" s="31" customFormat="1"/>
    <row r="710" s="31" customFormat="1"/>
    <row r="711" s="31" customFormat="1"/>
    <row r="712" s="31" customFormat="1"/>
    <row r="713" s="31" customFormat="1"/>
    <row r="714" s="31" customFormat="1"/>
    <row r="715" s="31" customFormat="1"/>
    <row r="716" s="31" customFormat="1"/>
    <row r="717" s="31" customFormat="1"/>
    <row r="718" s="31" customFormat="1"/>
    <row r="719" s="31" customFormat="1"/>
    <row r="720" s="31" customFormat="1"/>
    <row r="721" s="31" customFormat="1"/>
    <row r="722" s="31" customFormat="1"/>
    <row r="723" s="31" customFormat="1"/>
    <row r="724" s="31" customFormat="1"/>
    <row r="725" s="31" customFormat="1"/>
    <row r="726" s="31" customFormat="1"/>
    <row r="727" s="31" customFormat="1"/>
    <row r="728" s="31" customFormat="1"/>
    <row r="729" s="31" customFormat="1"/>
    <row r="730" s="31" customFormat="1"/>
    <row r="731" s="31" customFormat="1"/>
    <row r="732" s="31" customFormat="1"/>
    <row r="733" s="31" customFormat="1"/>
    <row r="734" s="31" customFormat="1"/>
    <row r="735" s="31" customFormat="1"/>
    <row r="736" s="31" customFormat="1"/>
    <row r="737" s="31" customFormat="1"/>
    <row r="738" s="31" customFormat="1"/>
    <row r="739" s="31" customFormat="1"/>
    <row r="740" s="31" customFormat="1"/>
    <row r="741" s="31" customFormat="1"/>
    <row r="742" s="31" customFormat="1"/>
    <row r="743" s="31" customFormat="1"/>
    <row r="744" s="31" customFormat="1"/>
    <row r="745" s="31" customFormat="1"/>
    <row r="746" s="31" customFormat="1"/>
    <row r="747" s="31" customFormat="1"/>
    <row r="748" s="31" customFormat="1"/>
    <row r="749" s="31" customFormat="1"/>
    <row r="750" s="31" customFormat="1"/>
    <row r="751" s="31" customFormat="1"/>
    <row r="752" s="31" customFormat="1"/>
    <row r="753" s="31" customFormat="1"/>
    <row r="754" s="31" customFormat="1"/>
    <row r="755" s="31" customFormat="1"/>
    <row r="756" s="31" customFormat="1"/>
    <row r="757" s="31" customFormat="1"/>
    <row r="758" s="31" customFormat="1"/>
    <row r="759" s="31" customFormat="1"/>
    <row r="760" s="31" customFormat="1"/>
    <row r="761" s="31" customFormat="1"/>
    <row r="762" s="31" customFormat="1"/>
    <row r="763" s="31" customFormat="1"/>
    <row r="764" s="31" customFormat="1"/>
    <row r="765" s="31" customFormat="1"/>
    <row r="766" s="31" customFormat="1"/>
    <row r="767" s="31" customFormat="1"/>
    <row r="768" s="31" customFormat="1"/>
    <row r="769" s="31" customFormat="1"/>
    <row r="770" s="31" customFormat="1"/>
    <row r="771" s="31" customFormat="1"/>
    <row r="772" s="31" customFormat="1"/>
    <row r="773" s="31" customFormat="1"/>
    <row r="774" s="31" customFormat="1"/>
    <row r="775" s="31" customFormat="1"/>
    <row r="776" s="31" customFormat="1"/>
    <row r="777" s="31" customFormat="1"/>
    <row r="778" s="31" customFormat="1"/>
    <row r="779" s="31" customFormat="1"/>
    <row r="780" s="31" customFormat="1"/>
    <row r="781" s="31" customFormat="1"/>
    <row r="782" s="31" customFormat="1"/>
    <row r="783" s="31" customFormat="1"/>
    <row r="784" s="31" customFormat="1"/>
    <row r="785" s="31" customFormat="1"/>
    <row r="786" s="31" customFormat="1"/>
    <row r="787" s="31" customFormat="1"/>
    <row r="788" s="31" customFormat="1"/>
    <row r="789" s="31" customFormat="1"/>
    <row r="790" s="31" customFormat="1"/>
    <row r="791" s="31" customFormat="1"/>
    <row r="792" s="31" customFormat="1"/>
    <row r="793" s="31" customFormat="1"/>
    <row r="794" s="31" customFormat="1"/>
    <row r="795" s="31" customFormat="1"/>
    <row r="796" s="31" customFormat="1"/>
    <row r="797" s="31" customFormat="1"/>
    <row r="798" s="31" customFormat="1"/>
    <row r="799" s="31" customFormat="1"/>
    <row r="800" s="31" customFormat="1"/>
    <row r="801" s="31" customFormat="1"/>
    <row r="802" s="31" customFormat="1"/>
    <row r="803" s="31" customFormat="1"/>
    <row r="804" s="31" customFormat="1"/>
    <row r="805" s="31" customFormat="1"/>
    <row r="806" s="31" customFormat="1"/>
    <row r="807" s="31" customFormat="1"/>
    <row r="808" s="31" customFormat="1"/>
    <row r="809" s="31" customFormat="1"/>
    <row r="810" s="31" customFormat="1"/>
    <row r="811" s="31" customFormat="1"/>
    <row r="812" s="31" customFormat="1"/>
    <row r="813" s="31" customFormat="1"/>
    <row r="814" s="31" customFormat="1"/>
    <row r="815" s="31" customFormat="1"/>
    <row r="816" s="31" customFormat="1"/>
    <row r="817" s="31" customFormat="1"/>
    <row r="818" s="31" customFormat="1"/>
    <row r="819" s="31" customFormat="1"/>
    <row r="820" s="31" customFormat="1"/>
    <row r="821" s="31" customFormat="1"/>
    <row r="822" s="31" customFormat="1"/>
    <row r="823" s="31" customFormat="1"/>
    <row r="824" s="31" customFormat="1"/>
    <row r="825" s="31" customFormat="1"/>
    <row r="826" s="31" customFormat="1"/>
    <row r="827" s="31" customFormat="1"/>
    <row r="828" s="31" customFormat="1"/>
    <row r="829" s="31" customFormat="1"/>
    <row r="830" s="31" customFormat="1"/>
    <row r="831" s="31" customFormat="1"/>
    <row r="832" s="31" customFormat="1"/>
    <row r="833" s="31" customFormat="1"/>
    <row r="834" s="31" customFormat="1"/>
    <row r="835" s="31" customFormat="1"/>
    <row r="836" s="31" customFormat="1"/>
    <row r="837" s="31" customFormat="1"/>
    <row r="838" s="31" customFormat="1"/>
    <row r="839" s="31" customFormat="1"/>
    <row r="840" s="31" customFormat="1"/>
    <row r="841" s="31" customFormat="1"/>
    <row r="842" s="31" customFormat="1"/>
    <row r="843" s="31" customFormat="1"/>
    <row r="844" s="31" customFormat="1"/>
    <row r="845" s="31" customFormat="1"/>
    <row r="846" s="31" customFormat="1"/>
    <row r="847" s="31" customFormat="1"/>
    <row r="848" s="31" customFormat="1"/>
    <row r="849" s="31" customFormat="1"/>
    <row r="850" s="31" customFormat="1"/>
    <row r="851" s="31" customFormat="1"/>
    <row r="852" s="31" customFormat="1"/>
    <row r="853" s="31" customFormat="1"/>
    <row r="854" s="31" customFormat="1"/>
    <row r="855" s="31" customFormat="1"/>
    <row r="856" s="31" customFormat="1"/>
    <row r="857" s="31" customFormat="1"/>
    <row r="858" s="31" customFormat="1"/>
    <row r="859" s="31" customFormat="1"/>
    <row r="860" s="31" customFormat="1"/>
    <row r="861" s="31" customFormat="1"/>
    <row r="862" s="31" customFormat="1"/>
    <row r="863" s="31" customFormat="1"/>
    <row r="864" s="31" customFormat="1"/>
    <row r="865" s="31" customFormat="1"/>
    <row r="866" s="31" customFormat="1"/>
    <row r="867" s="31" customFormat="1"/>
    <row r="868" s="31" customFormat="1"/>
    <row r="869" s="31" customFormat="1"/>
    <row r="870" s="31" customFormat="1"/>
    <row r="871" s="31" customFormat="1"/>
    <row r="872" s="31" customFormat="1"/>
    <row r="873" s="31" customFormat="1"/>
    <row r="874" s="31" customFormat="1"/>
    <row r="875" s="31" customFormat="1"/>
    <row r="876" s="31" customFormat="1"/>
    <row r="877" s="31" customFormat="1"/>
    <row r="878" s="31" customFormat="1"/>
    <row r="879" s="31" customFormat="1"/>
    <row r="880" s="31" customFormat="1"/>
    <row r="881" s="31" customFormat="1"/>
    <row r="882" s="31" customFormat="1"/>
    <row r="883" s="31" customFormat="1"/>
    <row r="884" s="31" customFormat="1"/>
    <row r="885" s="31" customFormat="1"/>
    <row r="886" s="31" customFormat="1"/>
    <row r="887" s="31" customFormat="1"/>
    <row r="888" s="31" customFormat="1"/>
    <row r="889" s="31" customFormat="1"/>
    <row r="890" s="31" customFormat="1"/>
    <row r="891" s="31" customFormat="1"/>
    <row r="892" s="31" customFormat="1"/>
    <row r="893" s="31" customFormat="1"/>
    <row r="894" s="31" customFormat="1"/>
    <row r="895" s="31" customFormat="1"/>
    <row r="896" s="31" customFormat="1"/>
    <row r="897" s="31" customFormat="1"/>
    <row r="898" s="31" customFormat="1"/>
    <row r="899" s="31" customFormat="1"/>
    <row r="900" s="31" customFormat="1"/>
    <row r="901" s="31" customFormat="1"/>
    <row r="902" s="31" customFormat="1"/>
    <row r="903" s="31" customFormat="1"/>
    <row r="904" s="31" customFormat="1"/>
    <row r="905" s="31" customFormat="1"/>
    <row r="906" s="31" customFormat="1"/>
    <row r="907" s="31" customFormat="1"/>
    <row r="908" s="31" customFormat="1"/>
    <row r="909" s="31" customFormat="1"/>
    <row r="910" s="31" customFormat="1"/>
    <row r="911" s="31" customFormat="1"/>
    <row r="912" s="31" customFormat="1"/>
    <row r="913" s="31" customFormat="1"/>
    <row r="914" s="31" customFormat="1"/>
    <row r="915" s="31" customFormat="1"/>
    <row r="916" s="31" customFormat="1"/>
    <row r="917" s="31" customFormat="1"/>
    <row r="918" s="31" customFormat="1"/>
    <row r="919" s="31" customFormat="1"/>
    <row r="920" s="31" customFormat="1"/>
    <row r="921" s="31" customFormat="1"/>
    <row r="922" s="31" customFormat="1"/>
    <row r="923" s="31" customFormat="1"/>
    <row r="924" s="31" customFormat="1"/>
    <row r="925" s="31" customFormat="1"/>
    <row r="926" s="31" customFormat="1"/>
    <row r="927" s="31" customFormat="1"/>
    <row r="928" s="31" customFormat="1"/>
    <row r="929" s="31" customFormat="1"/>
    <row r="930" s="31" customFormat="1"/>
    <row r="931" s="31" customFormat="1"/>
    <row r="932" s="31" customFormat="1"/>
    <row r="933" s="31" customFormat="1"/>
    <row r="934" s="31" customFormat="1"/>
    <row r="935" s="31" customFormat="1"/>
    <row r="936" s="31" customFormat="1"/>
    <row r="937" s="31" customFormat="1"/>
    <row r="938" s="31" customFormat="1"/>
    <row r="939" s="31" customFormat="1"/>
    <row r="940" s="31" customFormat="1"/>
    <row r="941" s="31" customFormat="1"/>
    <row r="942" s="31" customFormat="1"/>
    <row r="943" s="31" customFormat="1"/>
    <row r="944" s="31" customFormat="1"/>
    <row r="945" s="31" customFormat="1"/>
    <row r="946" s="31" customFormat="1"/>
    <row r="947" s="31" customFormat="1"/>
    <row r="948" s="31" customFormat="1"/>
    <row r="949" s="31" customFormat="1"/>
    <row r="950" s="31" customFormat="1"/>
    <row r="951" s="31" customFormat="1"/>
    <row r="952" s="31" customFormat="1"/>
    <row r="953" s="31" customFormat="1"/>
    <row r="954" s="31" customFormat="1"/>
    <row r="955" s="31" customFormat="1"/>
    <row r="956" s="31" customFormat="1"/>
    <row r="957" s="31" customFormat="1"/>
    <row r="958" s="31" customFormat="1"/>
    <row r="959" s="31" customFormat="1"/>
    <row r="960" s="31" customFormat="1"/>
    <row r="961" s="31" customFormat="1"/>
    <row r="962" s="31" customFormat="1"/>
    <row r="963" s="31" customFormat="1"/>
    <row r="964" s="31" customFormat="1"/>
    <row r="965" s="31" customFormat="1"/>
    <row r="966" s="31" customFormat="1"/>
    <row r="967" s="31" customFormat="1"/>
    <row r="968" s="31" customFormat="1"/>
    <row r="969" s="31" customFormat="1"/>
    <row r="970" s="31" customFormat="1"/>
    <row r="971" s="31" customFormat="1"/>
    <row r="972" s="31" customFormat="1"/>
    <row r="973" s="31" customFormat="1"/>
    <row r="974" s="31" customFormat="1"/>
    <row r="975" s="31" customFormat="1"/>
    <row r="976" s="31" customFormat="1"/>
    <row r="977" s="31" customFormat="1"/>
    <row r="978" s="31" customFormat="1"/>
    <row r="979" s="31" customFormat="1"/>
    <row r="980" s="31" customFormat="1"/>
    <row r="981" s="31" customFormat="1"/>
    <row r="982" s="31" customFormat="1"/>
    <row r="983" s="31" customFormat="1"/>
    <row r="984" s="31" customFormat="1"/>
    <row r="985" s="31" customFormat="1"/>
    <row r="986" s="31" customFormat="1"/>
    <row r="987" s="31" customFormat="1"/>
    <row r="988" s="31" customFormat="1"/>
    <row r="989" s="31" customFormat="1"/>
    <row r="990" s="31" customFormat="1"/>
    <row r="991" s="31" customFormat="1"/>
    <row r="992" s="31" customFormat="1"/>
    <row r="993" s="31" customFormat="1"/>
    <row r="994" s="31" customFormat="1"/>
    <row r="995" s="31" customFormat="1"/>
    <row r="996" s="31" customFormat="1"/>
    <row r="997" s="31" customFormat="1"/>
    <row r="998" s="31" customFormat="1"/>
    <row r="999" s="31" customFormat="1"/>
    <row r="1000" s="31" customFormat="1"/>
    <row r="1001" s="31" customFormat="1"/>
    <row r="1002" s="31" customFormat="1"/>
    <row r="1003" s="31" customFormat="1"/>
    <row r="1004" s="31" customFormat="1"/>
    <row r="1005" s="31" customFormat="1"/>
    <row r="1006" s="31" customFormat="1"/>
    <row r="1007" s="31" customFormat="1"/>
    <row r="1008" s="31" customFormat="1"/>
    <row r="1009" s="31" customFormat="1"/>
    <row r="1010" s="31" customFormat="1"/>
    <row r="1011" s="31" customFormat="1"/>
    <row r="1012" s="31" customFormat="1"/>
    <row r="1013" s="31" customFormat="1"/>
    <row r="1014" s="31" customFormat="1"/>
    <row r="1015" s="31" customFormat="1"/>
    <row r="1016" s="31" customFormat="1"/>
    <row r="1017" s="31" customFormat="1"/>
    <row r="1018" s="31" customFormat="1"/>
    <row r="1019" s="31" customFormat="1"/>
    <row r="1020" s="31" customFormat="1"/>
    <row r="1021" s="31" customFormat="1"/>
    <row r="1022" s="31" customFormat="1"/>
    <row r="1023" s="31" customFormat="1"/>
    <row r="1024" s="31" customFormat="1"/>
    <row r="1025" s="31" customFormat="1"/>
    <row r="1026" s="31" customFormat="1"/>
    <row r="1027" s="31" customFormat="1"/>
    <row r="1028" s="31" customFormat="1"/>
    <row r="1029" s="31" customFormat="1"/>
    <row r="1030" s="31" customFormat="1"/>
    <row r="1031" s="31" customFormat="1"/>
    <row r="1032" s="31" customFormat="1"/>
    <row r="1033" s="31" customFormat="1"/>
    <row r="1034" s="31" customFormat="1"/>
    <row r="1035" s="31" customFormat="1"/>
    <row r="1036" s="31" customFormat="1"/>
    <row r="1037" s="31" customFormat="1"/>
    <row r="1038" s="31" customFormat="1"/>
    <row r="1039" s="31" customFormat="1"/>
    <row r="1040" s="31" customFormat="1"/>
    <row r="1041" s="31" customFormat="1"/>
    <row r="1042" s="31" customFormat="1"/>
    <row r="1043" s="31" customFormat="1"/>
    <row r="1044" s="31" customFormat="1"/>
    <row r="1045" s="31" customFormat="1"/>
    <row r="1046" s="31" customFormat="1"/>
    <row r="1047" s="31" customFormat="1"/>
    <row r="1048" s="31" customFormat="1"/>
    <row r="1049" s="31" customFormat="1"/>
    <row r="1050" s="31" customFormat="1"/>
    <row r="1051" s="31" customFormat="1"/>
    <row r="1052" s="31" customFormat="1"/>
    <row r="1053" s="31" customFormat="1"/>
    <row r="1054" s="31" customFormat="1"/>
    <row r="1055" s="31" customFormat="1"/>
    <row r="1056" s="31" customFormat="1"/>
    <row r="1057" s="31" customFormat="1"/>
    <row r="1058" s="31" customFormat="1"/>
    <row r="1059" s="31" customFormat="1"/>
    <row r="1060" s="31" customFormat="1"/>
    <row r="1061" s="31" customFormat="1"/>
    <row r="1062" s="31" customFormat="1"/>
    <row r="1063" s="31" customFormat="1"/>
    <row r="1064" s="31" customFormat="1"/>
    <row r="1065" s="31" customFormat="1"/>
    <row r="1066" s="31" customFormat="1"/>
    <row r="1067" s="31" customFormat="1"/>
    <row r="1068" s="31" customFormat="1"/>
    <row r="1069" s="31" customFormat="1"/>
    <row r="1070" s="31" customFormat="1"/>
  </sheetData>
  <mergeCells count="4">
    <mergeCell ref="P9:P10"/>
    <mergeCell ref="Q9:Q10"/>
    <mergeCell ref="R9:R10"/>
    <mergeCell ref="S9:S10"/>
  </mergeCells>
  <pageMargins left="0.7" right="0.7" top="0.75" bottom="0.75" header="0.3" footer="0.3"/>
  <pageSetup paperSize="9" orientation="portrait"/>
  <drawing r:id="rId1"/>
  <tableParts count="1">
    <tablePart r:id="rId2"/>
  </tableParts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G52"/>
  <sheetViews>
    <sheetView topLeftCell="A4" zoomScale="78" zoomScaleNormal="78" workbookViewId="0">
      <selection activeCell="D9" sqref="D9"/>
    </sheetView>
  </sheetViews>
  <sheetFormatPr defaultColWidth="8.83203125" defaultRowHeight="15"/>
  <cols>
    <col min="1" max="1" width="20.6640625" style="2" bestFit="1" customWidth="1"/>
    <col min="2" max="2" width="17.9140625" style="2" bestFit="1" customWidth="1"/>
    <col min="3" max="3" width="18.25" style="2" bestFit="1" customWidth="1"/>
    <col min="4" max="4" width="17.9140625" style="2" bestFit="1" customWidth="1"/>
    <col min="5" max="5" width="18.25" style="2" bestFit="1" customWidth="1"/>
    <col min="6" max="7" width="10.83203125" style="2" customWidth="1"/>
    <col min="8" max="16384" width="8.83203125" style="2"/>
  </cols>
  <sheetData>
    <row r="3" spans="1:7" ht="29.25" customHeight="1"/>
    <row r="7" spans="1:7">
      <c r="A7" s="61" t="s">
        <v>33</v>
      </c>
      <c r="B7" s="61" t="s">
        <v>34</v>
      </c>
      <c r="C7" s="61" t="s">
        <v>35</v>
      </c>
      <c r="D7" s="61" t="s">
        <v>36</v>
      </c>
      <c r="E7" s="61" t="s">
        <v>37</v>
      </c>
      <c r="F7"/>
      <c r="G7"/>
    </row>
    <row r="8" spans="1:7">
      <c r="A8" s="65" t="s">
        <v>107</v>
      </c>
      <c r="B8" s="64">
        <v>1937</v>
      </c>
      <c r="C8" s="64">
        <v>1874</v>
      </c>
      <c r="D8" s="64">
        <v>1931</v>
      </c>
      <c r="E8" s="64">
        <v>1830</v>
      </c>
      <c r="F8"/>
      <c r="G8"/>
    </row>
    <row r="9" spans="1:7">
      <c r="A9" s="60" t="s">
        <v>53</v>
      </c>
      <c r="B9" s="59">
        <v>1001</v>
      </c>
      <c r="C9" s="59">
        <v>956</v>
      </c>
      <c r="D9" s="59">
        <v>1004</v>
      </c>
      <c r="E9" s="59">
        <v>932</v>
      </c>
      <c r="F9"/>
      <c r="G9"/>
    </row>
    <row r="10" spans="1:7">
      <c r="A10" s="60" t="s">
        <v>75</v>
      </c>
      <c r="B10" s="59">
        <v>936</v>
      </c>
      <c r="C10" s="59">
        <v>918</v>
      </c>
      <c r="D10" s="59">
        <v>927</v>
      </c>
      <c r="E10" s="59">
        <v>898</v>
      </c>
      <c r="F10"/>
      <c r="G10"/>
    </row>
    <row r="11" spans="1:7">
      <c r="A11" s="65" t="s">
        <v>102</v>
      </c>
      <c r="B11" s="64">
        <v>949</v>
      </c>
      <c r="C11" s="64">
        <v>929</v>
      </c>
      <c r="D11" s="64">
        <v>946</v>
      </c>
      <c r="E11" s="64">
        <v>900</v>
      </c>
      <c r="F11"/>
      <c r="G11"/>
    </row>
    <row r="12" spans="1:7">
      <c r="A12" s="60" t="s">
        <v>103</v>
      </c>
      <c r="B12" s="59">
        <v>949</v>
      </c>
      <c r="C12" s="59">
        <v>929</v>
      </c>
      <c r="D12" s="59">
        <v>946</v>
      </c>
      <c r="E12" s="59">
        <v>900</v>
      </c>
      <c r="F12"/>
      <c r="G12"/>
    </row>
    <row r="13" spans="1:7">
      <c r="A13" s="65" t="s">
        <v>106</v>
      </c>
      <c r="B13" s="64">
        <v>3824</v>
      </c>
      <c r="C13" s="64">
        <v>3681</v>
      </c>
      <c r="D13" s="64">
        <v>3825</v>
      </c>
      <c r="E13" s="64">
        <v>3526</v>
      </c>
      <c r="F13"/>
      <c r="G13"/>
    </row>
    <row r="14" spans="1:7">
      <c r="A14" s="60" t="s">
        <v>51</v>
      </c>
      <c r="B14" s="59">
        <v>921</v>
      </c>
      <c r="C14" s="59">
        <v>895</v>
      </c>
      <c r="D14" s="59">
        <v>926</v>
      </c>
      <c r="E14" s="59">
        <v>868</v>
      </c>
      <c r="F14"/>
      <c r="G14"/>
    </row>
    <row r="15" spans="1:7">
      <c r="A15" s="60" t="s">
        <v>86</v>
      </c>
      <c r="B15" s="59">
        <v>961</v>
      </c>
      <c r="C15" s="59">
        <v>910</v>
      </c>
      <c r="D15" s="59">
        <v>962</v>
      </c>
      <c r="E15" s="59">
        <v>870</v>
      </c>
      <c r="F15"/>
      <c r="G15"/>
    </row>
    <row r="16" spans="1:7">
      <c r="A16" s="60" t="s">
        <v>57</v>
      </c>
      <c r="B16" s="59">
        <v>989</v>
      </c>
      <c r="C16" s="59">
        <v>932</v>
      </c>
      <c r="D16" s="59">
        <v>987</v>
      </c>
      <c r="E16" s="59">
        <v>895</v>
      </c>
      <c r="F16"/>
      <c r="G16"/>
    </row>
    <row r="17" spans="1:7">
      <c r="A17" s="60" t="s">
        <v>78</v>
      </c>
      <c r="B17" s="59">
        <v>953</v>
      </c>
      <c r="C17" s="59">
        <v>944</v>
      </c>
      <c r="D17" s="59">
        <v>950</v>
      </c>
      <c r="E17" s="59">
        <v>893</v>
      </c>
      <c r="F17"/>
      <c r="G17"/>
    </row>
    <row r="18" spans="1:7">
      <c r="A18" s="65" t="s">
        <v>94</v>
      </c>
      <c r="B18" s="64">
        <v>5601</v>
      </c>
      <c r="C18" s="64">
        <v>5219</v>
      </c>
      <c r="D18" s="64">
        <v>5573</v>
      </c>
      <c r="E18" s="64">
        <v>5031</v>
      </c>
      <c r="F18"/>
      <c r="G18"/>
    </row>
    <row r="19" spans="1:7">
      <c r="A19" s="60" t="s">
        <v>83</v>
      </c>
      <c r="B19" s="59">
        <v>882</v>
      </c>
      <c r="C19" s="59">
        <v>873</v>
      </c>
      <c r="D19" s="59">
        <v>866</v>
      </c>
      <c r="E19" s="59">
        <v>847</v>
      </c>
      <c r="F19"/>
      <c r="G19"/>
    </row>
    <row r="20" spans="1:7">
      <c r="A20" s="60" t="s">
        <v>84</v>
      </c>
      <c r="B20" s="59">
        <v>986</v>
      </c>
      <c r="C20" s="59">
        <v>853</v>
      </c>
      <c r="D20" s="59">
        <v>989</v>
      </c>
      <c r="E20" s="59">
        <v>795</v>
      </c>
      <c r="F20"/>
      <c r="G20"/>
    </row>
    <row r="21" spans="1:7">
      <c r="A21" s="60" t="s">
        <v>85</v>
      </c>
      <c r="B21" s="59">
        <v>908</v>
      </c>
      <c r="C21" s="59">
        <v>840</v>
      </c>
      <c r="D21" s="59">
        <v>917</v>
      </c>
      <c r="E21" s="59">
        <v>819</v>
      </c>
      <c r="F21"/>
      <c r="G21"/>
    </row>
    <row r="22" spans="1:7">
      <c r="A22" s="60" t="s">
        <v>87</v>
      </c>
      <c r="B22" s="59">
        <v>907</v>
      </c>
      <c r="C22" s="59">
        <v>875</v>
      </c>
      <c r="D22" s="59">
        <v>890</v>
      </c>
      <c r="E22" s="59">
        <v>849</v>
      </c>
      <c r="F22"/>
      <c r="G22"/>
    </row>
    <row r="23" spans="1:7">
      <c r="A23" s="60" t="s">
        <v>77</v>
      </c>
      <c r="B23" s="59">
        <v>918</v>
      </c>
      <c r="C23" s="59">
        <v>894</v>
      </c>
      <c r="D23" s="59">
        <v>904</v>
      </c>
      <c r="E23" s="59">
        <v>876</v>
      </c>
      <c r="F23"/>
      <c r="G23"/>
    </row>
    <row r="24" spans="1:7">
      <c r="A24" s="60" t="s">
        <v>89</v>
      </c>
      <c r="B24" s="59">
        <v>1000</v>
      </c>
      <c r="C24" s="59">
        <v>884</v>
      </c>
      <c r="D24" s="59">
        <v>1007</v>
      </c>
      <c r="E24" s="59">
        <v>845</v>
      </c>
      <c r="F24"/>
      <c r="G24"/>
    </row>
    <row r="25" spans="1:7">
      <c r="A25" s="65" t="s">
        <v>38</v>
      </c>
      <c r="B25" s="64">
        <v>7597</v>
      </c>
      <c r="C25" s="64">
        <v>7655</v>
      </c>
      <c r="D25" s="64">
        <v>7459</v>
      </c>
      <c r="E25" s="64">
        <v>7248</v>
      </c>
      <c r="F25"/>
      <c r="G25"/>
    </row>
    <row r="26" spans="1:7">
      <c r="A26" s="60" t="s">
        <v>39</v>
      </c>
      <c r="B26" s="59">
        <v>953</v>
      </c>
      <c r="C26" s="59">
        <v>890</v>
      </c>
      <c r="D26" s="59">
        <v>914</v>
      </c>
      <c r="E26" s="59">
        <v>819</v>
      </c>
      <c r="F26"/>
      <c r="G26"/>
    </row>
    <row r="27" spans="1:7">
      <c r="A27" s="60" t="s">
        <v>40</v>
      </c>
      <c r="B27" s="59">
        <v>960</v>
      </c>
      <c r="C27" s="59">
        <v>946</v>
      </c>
      <c r="D27" s="59">
        <v>944</v>
      </c>
      <c r="E27" s="59">
        <v>872</v>
      </c>
      <c r="F27"/>
      <c r="G27"/>
    </row>
    <row r="28" spans="1:7">
      <c r="A28" s="60" t="s">
        <v>41</v>
      </c>
      <c r="B28" s="59">
        <v>969</v>
      </c>
      <c r="C28" s="59">
        <v>1026</v>
      </c>
      <c r="D28" s="59">
        <v>967</v>
      </c>
      <c r="E28" s="59">
        <v>1009</v>
      </c>
      <c r="F28"/>
      <c r="G28"/>
    </row>
    <row r="29" spans="1:7">
      <c r="A29" s="60" t="s">
        <v>42</v>
      </c>
      <c r="B29" s="59">
        <v>986</v>
      </c>
      <c r="C29" s="59">
        <v>1001</v>
      </c>
      <c r="D29" s="59">
        <v>969</v>
      </c>
      <c r="E29" s="59">
        <v>982</v>
      </c>
      <c r="F29"/>
      <c r="G29"/>
    </row>
    <row r="30" spans="1:7">
      <c r="A30" s="60" t="s">
        <v>43</v>
      </c>
      <c r="B30" s="59">
        <v>952</v>
      </c>
      <c r="C30" s="59">
        <v>998</v>
      </c>
      <c r="D30" s="59">
        <v>923</v>
      </c>
      <c r="E30" s="59">
        <v>948</v>
      </c>
      <c r="F30"/>
      <c r="G30"/>
    </row>
    <row r="31" spans="1:7">
      <c r="A31" s="60" t="s">
        <v>44</v>
      </c>
      <c r="B31" s="59">
        <v>940</v>
      </c>
      <c r="C31" s="59">
        <v>908</v>
      </c>
      <c r="D31" s="59">
        <v>916</v>
      </c>
      <c r="E31" s="59">
        <v>829</v>
      </c>
      <c r="F31"/>
      <c r="G31"/>
    </row>
    <row r="32" spans="1:7">
      <c r="A32" s="60" t="s">
        <v>45</v>
      </c>
      <c r="B32" s="59">
        <v>882</v>
      </c>
      <c r="C32" s="59">
        <v>913</v>
      </c>
      <c r="D32" s="59">
        <v>880</v>
      </c>
      <c r="E32" s="59">
        <v>830</v>
      </c>
      <c r="F32"/>
      <c r="G32"/>
    </row>
    <row r="33" spans="1:7">
      <c r="A33" s="60" t="s">
        <v>46</v>
      </c>
      <c r="B33" s="59">
        <v>955</v>
      </c>
      <c r="C33" s="59">
        <v>973</v>
      </c>
      <c r="D33" s="59">
        <v>946</v>
      </c>
      <c r="E33" s="59">
        <v>959</v>
      </c>
      <c r="F33"/>
      <c r="G33"/>
    </row>
    <row r="34" spans="1:7">
      <c r="A34" s="65" t="s">
        <v>105</v>
      </c>
      <c r="B34" s="64">
        <v>4046</v>
      </c>
      <c r="C34" s="64">
        <v>4041</v>
      </c>
      <c r="D34" s="64">
        <v>4011</v>
      </c>
      <c r="E34" s="64">
        <v>3947</v>
      </c>
      <c r="F34"/>
      <c r="G34"/>
    </row>
    <row r="35" spans="1:7">
      <c r="A35" s="60" t="s">
        <v>52</v>
      </c>
      <c r="B35" s="59">
        <v>996</v>
      </c>
      <c r="C35" s="59">
        <v>987</v>
      </c>
      <c r="D35" s="59">
        <v>983</v>
      </c>
      <c r="E35" s="59">
        <v>965</v>
      </c>
      <c r="F35"/>
      <c r="G35"/>
    </row>
    <row r="36" spans="1:7">
      <c r="A36" s="60" t="s">
        <v>55</v>
      </c>
      <c r="B36" s="59">
        <v>979</v>
      </c>
      <c r="C36" s="59">
        <v>963</v>
      </c>
      <c r="D36" s="59">
        <v>977</v>
      </c>
      <c r="E36" s="59">
        <v>942</v>
      </c>
      <c r="F36"/>
      <c r="G36"/>
    </row>
    <row r="37" spans="1:7">
      <c r="A37" s="60" t="s">
        <v>56</v>
      </c>
      <c r="B37" s="59">
        <v>1078</v>
      </c>
      <c r="C37" s="59">
        <v>1091</v>
      </c>
      <c r="D37" s="59">
        <v>1059</v>
      </c>
      <c r="E37" s="59">
        <v>1058</v>
      </c>
      <c r="F37"/>
      <c r="G37"/>
    </row>
    <row r="38" spans="1:7">
      <c r="A38" s="60" t="s">
        <v>59</v>
      </c>
      <c r="B38" s="59">
        <v>993</v>
      </c>
      <c r="C38" s="59">
        <v>1000</v>
      </c>
      <c r="D38" s="59">
        <v>992</v>
      </c>
      <c r="E38" s="59">
        <v>982</v>
      </c>
      <c r="F38"/>
      <c r="G38"/>
    </row>
    <row r="39" spans="1:7">
      <c r="A39" s="65" t="s">
        <v>109</v>
      </c>
      <c r="B39" s="64">
        <v>6126</v>
      </c>
      <c r="C39" s="64">
        <v>5784</v>
      </c>
      <c r="D39" s="64">
        <v>5679</v>
      </c>
      <c r="E39" s="64">
        <v>6050</v>
      </c>
      <c r="F39"/>
      <c r="G39"/>
    </row>
    <row r="40" spans="1:7">
      <c r="A40" s="72" t="s">
        <v>65</v>
      </c>
      <c r="B40" s="64">
        <v>877</v>
      </c>
      <c r="C40" s="64">
        <v>874</v>
      </c>
      <c r="D40" s="64">
        <v>861</v>
      </c>
      <c r="E40" s="64">
        <v>815</v>
      </c>
      <c r="F40"/>
      <c r="G40"/>
    </row>
    <row r="41" spans="1:7">
      <c r="A41" s="72" t="s">
        <v>66</v>
      </c>
      <c r="B41" s="64">
        <v>690</v>
      </c>
      <c r="C41" s="64">
        <v>822</v>
      </c>
      <c r="D41" s="64">
        <v>621</v>
      </c>
      <c r="E41" s="64">
        <v>796</v>
      </c>
      <c r="F41"/>
      <c r="G41"/>
    </row>
    <row r="42" spans="1:7">
      <c r="A42" s="72" t="s">
        <v>67</v>
      </c>
      <c r="B42" s="64">
        <v>863</v>
      </c>
      <c r="C42" s="64">
        <v>682</v>
      </c>
      <c r="D42" s="64">
        <v>852</v>
      </c>
      <c r="E42" s="64">
        <v>691</v>
      </c>
      <c r="F42"/>
      <c r="G42"/>
    </row>
    <row r="43" spans="1:7">
      <c r="A43" s="72" t="s">
        <v>68</v>
      </c>
      <c r="B43" s="64">
        <v>864</v>
      </c>
      <c r="C43" s="64">
        <v>551</v>
      </c>
      <c r="D43" s="64">
        <v>586</v>
      </c>
      <c r="E43" s="64">
        <v>984</v>
      </c>
      <c r="F43"/>
      <c r="G43"/>
    </row>
    <row r="44" spans="1:7">
      <c r="A44" s="72" t="s">
        <v>69</v>
      </c>
      <c r="B44" s="64">
        <v>952</v>
      </c>
      <c r="C44" s="64">
        <v>945</v>
      </c>
      <c r="D44" s="64">
        <v>959</v>
      </c>
      <c r="E44" s="64">
        <v>935</v>
      </c>
      <c r="F44"/>
      <c r="G44"/>
    </row>
    <row r="45" spans="1:7">
      <c r="A45" s="72" t="s">
        <v>70</v>
      </c>
      <c r="B45" s="64">
        <v>852</v>
      </c>
      <c r="C45" s="64">
        <v>868</v>
      </c>
      <c r="D45" s="64">
        <v>810</v>
      </c>
      <c r="E45" s="64">
        <v>822</v>
      </c>
      <c r="F45"/>
      <c r="G45"/>
    </row>
    <row r="46" spans="1:7">
      <c r="A46" s="72" t="s">
        <v>58</v>
      </c>
      <c r="B46" s="64">
        <v>1028</v>
      </c>
      <c r="C46" s="64">
        <v>1042</v>
      </c>
      <c r="D46" s="64">
        <v>990</v>
      </c>
      <c r="E46" s="64">
        <v>1007</v>
      </c>
      <c r="F46"/>
      <c r="G46"/>
    </row>
    <row r="47" spans="1:7">
      <c r="A47" s="65" t="s">
        <v>108</v>
      </c>
      <c r="B47" s="64">
        <v>3837</v>
      </c>
      <c r="C47" s="64">
        <v>3653</v>
      </c>
      <c r="D47" s="64">
        <v>3823</v>
      </c>
      <c r="E47" s="64">
        <v>3577</v>
      </c>
      <c r="F47"/>
      <c r="G47"/>
    </row>
    <row r="48" spans="1:7">
      <c r="A48" s="60" t="s">
        <v>54</v>
      </c>
      <c r="B48" s="59">
        <v>1003</v>
      </c>
      <c r="C48" s="59">
        <v>956</v>
      </c>
      <c r="D48" s="59">
        <v>988</v>
      </c>
      <c r="E48" s="59">
        <v>934</v>
      </c>
      <c r="F48"/>
      <c r="G48"/>
    </row>
    <row r="49" spans="1:7">
      <c r="A49" s="60" t="s">
        <v>82</v>
      </c>
      <c r="B49" s="59">
        <v>949</v>
      </c>
      <c r="C49" s="59">
        <v>880</v>
      </c>
      <c r="D49" s="59">
        <v>945</v>
      </c>
      <c r="E49" s="59">
        <v>880</v>
      </c>
      <c r="F49"/>
      <c r="G49"/>
    </row>
    <row r="50" spans="1:7">
      <c r="A50" s="60" t="s">
        <v>76</v>
      </c>
      <c r="B50" s="59">
        <v>952</v>
      </c>
      <c r="C50" s="59">
        <v>903</v>
      </c>
      <c r="D50" s="59">
        <v>960</v>
      </c>
      <c r="E50" s="59">
        <v>873</v>
      </c>
      <c r="F50"/>
      <c r="G50"/>
    </row>
    <row r="51" spans="1:7">
      <c r="A51" s="60" t="s">
        <v>88</v>
      </c>
      <c r="B51" s="59">
        <v>933</v>
      </c>
      <c r="C51" s="59">
        <v>914</v>
      </c>
      <c r="D51" s="59">
        <v>930</v>
      </c>
      <c r="E51" s="59">
        <v>890</v>
      </c>
      <c r="F51"/>
      <c r="G51"/>
    </row>
    <row r="52" spans="1:7">
      <c r="A52" s="62" t="s">
        <v>47</v>
      </c>
      <c r="B52" s="63">
        <v>33917</v>
      </c>
      <c r="C52" s="63">
        <v>32836</v>
      </c>
      <c r="D52" s="63">
        <v>33247</v>
      </c>
      <c r="E52" s="63">
        <v>32109</v>
      </c>
      <c r="F52"/>
      <c r="G52"/>
    </row>
  </sheetData>
  <pageMargins left="0.7" right="0.7" top="0.75" bottom="0.75" header="0.3" footer="0.3"/>
  <pageSetup paperSize="9" orientation="portrait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7:D44"/>
  <sheetViews>
    <sheetView zoomScale="84" zoomScaleNormal="84" workbookViewId="0">
      <selection activeCell="K16" sqref="K16"/>
    </sheetView>
  </sheetViews>
  <sheetFormatPr defaultColWidth="8.83203125" defaultRowHeight="15"/>
  <cols>
    <col min="1" max="1" width="18.25" style="2" bestFit="1" customWidth="1"/>
    <col min="2" max="3" width="11.58203125" style="2" customWidth="1"/>
    <col min="4" max="4" width="20.4140625" style="2" customWidth="1"/>
    <col min="5" max="5" width="12.6640625" style="2" customWidth="1"/>
    <col min="6" max="6" width="13.1640625" style="2" customWidth="1"/>
    <col min="7" max="7" width="11.83203125" style="2" customWidth="1"/>
    <col min="8" max="8" width="12.1640625" style="2" customWidth="1"/>
    <col min="9" max="9" width="11.4140625" style="2" customWidth="1"/>
    <col min="10" max="10" width="6.83203125" style="2" customWidth="1"/>
    <col min="11" max="11" width="7" style="2" customWidth="1"/>
    <col min="12" max="12" width="11.4140625" style="2" customWidth="1"/>
    <col min="13" max="16384" width="8.83203125" style="2"/>
  </cols>
  <sheetData>
    <row r="7" spans="1:4">
      <c r="A7" s="61" t="s">
        <v>33</v>
      </c>
      <c r="B7" s="61" t="s">
        <v>48</v>
      </c>
      <c r="C7" s="61" t="s">
        <v>49</v>
      </c>
      <c r="D7" s="61" t="s">
        <v>50</v>
      </c>
    </row>
    <row r="8" spans="1:4">
      <c r="A8" s="58" t="s">
        <v>70</v>
      </c>
      <c r="B8" s="64">
        <v>821</v>
      </c>
      <c r="C8" s="64">
        <v>868</v>
      </c>
      <c r="D8" s="64">
        <v>47</v>
      </c>
    </row>
    <row r="9" spans="1:4">
      <c r="A9" s="58" t="s">
        <v>39</v>
      </c>
      <c r="B9" s="64">
        <v>893</v>
      </c>
      <c r="C9" s="64">
        <v>938</v>
      </c>
      <c r="D9" s="64">
        <v>45</v>
      </c>
    </row>
    <row r="10" spans="1:4">
      <c r="A10" s="58" t="s">
        <v>43</v>
      </c>
      <c r="B10" s="64">
        <v>935</v>
      </c>
      <c r="C10" s="64">
        <v>976</v>
      </c>
      <c r="D10" s="64">
        <v>41</v>
      </c>
    </row>
    <row r="11" spans="1:4">
      <c r="A11" s="58" t="s">
        <v>66</v>
      </c>
      <c r="B11" s="64">
        <v>777</v>
      </c>
      <c r="C11" s="64">
        <v>818</v>
      </c>
      <c r="D11" s="64">
        <v>41</v>
      </c>
    </row>
    <row r="12" spans="1:4">
      <c r="A12" s="58" t="s">
        <v>58</v>
      </c>
      <c r="B12" s="64">
        <v>1001</v>
      </c>
      <c r="C12" s="64">
        <v>1037</v>
      </c>
      <c r="D12" s="64">
        <v>36</v>
      </c>
    </row>
    <row r="13" spans="1:4">
      <c r="A13" s="58" t="s">
        <v>44</v>
      </c>
      <c r="B13" s="64">
        <v>900</v>
      </c>
      <c r="C13" s="64">
        <v>931</v>
      </c>
      <c r="D13" s="64">
        <v>31</v>
      </c>
    </row>
    <row r="14" spans="1:4">
      <c r="A14" s="58" t="s">
        <v>65</v>
      </c>
      <c r="B14" s="64">
        <v>846</v>
      </c>
      <c r="C14" s="64">
        <v>876</v>
      </c>
      <c r="D14" s="64">
        <v>30</v>
      </c>
    </row>
    <row r="15" spans="1:4">
      <c r="A15" s="58" t="s">
        <v>56</v>
      </c>
      <c r="B15" s="64">
        <v>1058</v>
      </c>
      <c r="C15" s="64">
        <v>1084</v>
      </c>
      <c r="D15" s="64">
        <v>26</v>
      </c>
    </row>
    <row r="16" spans="1:4">
      <c r="A16" s="58" t="s">
        <v>40</v>
      </c>
      <c r="B16" s="64">
        <v>935</v>
      </c>
      <c r="C16" s="64">
        <v>958</v>
      </c>
      <c r="D16" s="64">
        <v>23</v>
      </c>
    </row>
    <row r="17" spans="1:4">
      <c r="A17" s="58" t="s">
        <v>87</v>
      </c>
      <c r="B17" s="64">
        <v>876</v>
      </c>
      <c r="C17" s="64">
        <v>895</v>
      </c>
      <c r="D17" s="64">
        <v>19</v>
      </c>
    </row>
    <row r="18" spans="1:4">
      <c r="A18" s="58" t="s">
        <v>83</v>
      </c>
      <c r="B18" s="64">
        <v>861</v>
      </c>
      <c r="C18" s="64">
        <v>879</v>
      </c>
      <c r="D18" s="64">
        <v>18</v>
      </c>
    </row>
    <row r="19" spans="1:4">
      <c r="A19" s="58" t="s">
        <v>42</v>
      </c>
      <c r="B19" s="64">
        <v>972</v>
      </c>
      <c r="C19" s="64">
        <v>989</v>
      </c>
      <c r="D19" s="64">
        <v>17</v>
      </c>
    </row>
    <row r="20" spans="1:4">
      <c r="A20" s="58" t="s">
        <v>78</v>
      </c>
      <c r="B20" s="64">
        <v>934</v>
      </c>
      <c r="C20" s="64">
        <v>950</v>
      </c>
      <c r="D20" s="64">
        <v>16</v>
      </c>
    </row>
    <row r="21" spans="1:4">
      <c r="A21" s="58" t="s">
        <v>45</v>
      </c>
      <c r="B21" s="64">
        <v>875</v>
      </c>
      <c r="C21" s="64">
        <v>890</v>
      </c>
      <c r="D21" s="64">
        <v>15</v>
      </c>
    </row>
    <row r="22" spans="1:4">
      <c r="A22" s="58" t="s">
        <v>52</v>
      </c>
      <c r="B22" s="64">
        <v>978</v>
      </c>
      <c r="C22" s="64">
        <v>993</v>
      </c>
      <c r="D22" s="64">
        <v>15</v>
      </c>
    </row>
    <row r="23" spans="1:4">
      <c r="A23" s="58" t="s">
        <v>77</v>
      </c>
      <c r="B23" s="64">
        <v>898</v>
      </c>
      <c r="C23" s="64">
        <v>912</v>
      </c>
      <c r="D23" s="64">
        <v>14</v>
      </c>
    </row>
    <row r="24" spans="1:4">
      <c r="A24" s="58" t="s">
        <v>54</v>
      </c>
      <c r="B24" s="64">
        <v>961</v>
      </c>
      <c r="C24" s="64">
        <v>973</v>
      </c>
      <c r="D24" s="64">
        <v>12</v>
      </c>
    </row>
    <row r="25" spans="1:4">
      <c r="A25" s="58" t="s">
        <v>75</v>
      </c>
      <c r="B25" s="64">
        <v>919</v>
      </c>
      <c r="C25" s="64">
        <v>931</v>
      </c>
      <c r="D25" s="64">
        <v>12</v>
      </c>
    </row>
    <row r="26" spans="1:4">
      <c r="A26" s="58" t="s">
        <v>46</v>
      </c>
      <c r="B26" s="64">
        <v>948</v>
      </c>
      <c r="C26" s="64">
        <v>960</v>
      </c>
      <c r="D26" s="64">
        <v>12</v>
      </c>
    </row>
    <row r="27" spans="1:4">
      <c r="A27" s="58" t="s">
        <v>103</v>
      </c>
      <c r="B27" s="64">
        <v>933</v>
      </c>
      <c r="C27" s="64">
        <v>943</v>
      </c>
      <c r="D27" s="64">
        <v>10</v>
      </c>
    </row>
    <row r="28" spans="1:4">
      <c r="A28" s="58" t="s">
        <v>59</v>
      </c>
      <c r="B28" s="64">
        <v>987</v>
      </c>
      <c r="C28" s="64">
        <v>996</v>
      </c>
      <c r="D28" s="64">
        <v>9</v>
      </c>
    </row>
    <row r="29" spans="1:4">
      <c r="A29" s="58" t="s">
        <v>55</v>
      </c>
      <c r="B29" s="64">
        <v>965</v>
      </c>
      <c r="C29" s="64">
        <v>973</v>
      </c>
      <c r="D29" s="64">
        <v>8</v>
      </c>
    </row>
    <row r="30" spans="1:4">
      <c r="A30" s="58" t="s">
        <v>76</v>
      </c>
      <c r="B30" s="64">
        <v>922</v>
      </c>
      <c r="C30" s="64">
        <v>929</v>
      </c>
      <c r="D30" s="64">
        <v>7</v>
      </c>
    </row>
    <row r="31" spans="1:4">
      <c r="A31" s="58" t="s">
        <v>88</v>
      </c>
      <c r="B31" s="64">
        <v>921</v>
      </c>
      <c r="C31" s="64">
        <v>928</v>
      </c>
      <c r="D31" s="64">
        <v>7</v>
      </c>
    </row>
    <row r="32" spans="1:4">
      <c r="A32" s="58" t="s">
        <v>57</v>
      </c>
      <c r="B32" s="64">
        <v>972</v>
      </c>
      <c r="C32" s="64">
        <v>979</v>
      </c>
      <c r="D32" s="64">
        <v>7</v>
      </c>
    </row>
    <row r="33" spans="1:4">
      <c r="A33" s="58" t="s">
        <v>86</v>
      </c>
      <c r="B33" s="64">
        <v>941</v>
      </c>
      <c r="C33" s="64">
        <v>948</v>
      </c>
      <c r="D33" s="64">
        <v>7</v>
      </c>
    </row>
    <row r="34" spans="1:4">
      <c r="A34" s="58" t="s">
        <v>41</v>
      </c>
      <c r="B34" s="64">
        <v>978</v>
      </c>
      <c r="C34" s="64">
        <v>985</v>
      </c>
      <c r="D34" s="64">
        <v>7</v>
      </c>
    </row>
    <row r="35" spans="1:4">
      <c r="A35" s="58" t="s">
        <v>84</v>
      </c>
      <c r="B35" s="64">
        <v>968</v>
      </c>
      <c r="C35" s="64">
        <v>972</v>
      </c>
      <c r="D35" s="64">
        <v>4</v>
      </c>
    </row>
    <row r="36" spans="1:4">
      <c r="A36" s="58" t="s">
        <v>53</v>
      </c>
      <c r="B36" s="64">
        <v>989</v>
      </c>
      <c r="C36" s="64">
        <v>991</v>
      </c>
      <c r="D36" s="64">
        <v>2</v>
      </c>
    </row>
    <row r="37" spans="1:4">
      <c r="A37" s="58" t="s">
        <v>89</v>
      </c>
      <c r="B37" s="64">
        <v>962</v>
      </c>
      <c r="C37" s="64">
        <v>963</v>
      </c>
      <c r="D37" s="64">
        <v>1</v>
      </c>
    </row>
    <row r="38" spans="1:4">
      <c r="A38" s="58" t="s">
        <v>82</v>
      </c>
      <c r="B38" s="64">
        <v>920</v>
      </c>
      <c r="C38" s="64">
        <v>919</v>
      </c>
      <c r="D38" s="64">
        <v>-1</v>
      </c>
    </row>
    <row r="39" spans="1:4">
      <c r="A39" s="58" t="s">
        <v>51</v>
      </c>
      <c r="B39" s="64">
        <v>919</v>
      </c>
      <c r="C39" s="64">
        <v>918</v>
      </c>
      <c r="D39" s="64">
        <v>-1</v>
      </c>
    </row>
    <row r="40" spans="1:4">
      <c r="A40" s="58" t="s">
        <v>69</v>
      </c>
      <c r="B40" s="64">
        <v>948</v>
      </c>
      <c r="C40" s="64">
        <v>946</v>
      </c>
      <c r="D40" s="64">
        <v>-2</v>
      </c>
    </row>
    <row r="41" spans="1:4">
      <c r="A41" s="58" t="s">
        <v>85</v>
      </c>
      <c r="B41" s="64">
        <v>892</v>
      </c>
      <c r="C41" s="64">
        <v>889</v>
      </c>
      <c r="D41" s="64">
        <v>-3</v>
      </c>
    </row>
    <row r="42" spans="1:4">
      <c r="A42" s="58" t="s">
        <v>67</v>
      </c>
      <c r="B42" s="64">
        <v>812</v>
      </c>
      <c r="C42" s="64">
        <v>774</v>
      </c>
      <c r="D42" s="64">
        <v>-38</v>
      </c>
    </row>
    <row r="43" spans="1:4">
      <c r="A43" s="58" t="s">
        <v>68</v>
      </c>
      <c r="B43" s="64">
        <v>710</v>
      </c>
      <c r="C43" s="64">
        <v>618</v>
      </c>
      <c r="D43" s="64">
        <v>-92</v>
      </c>
    </row>
    <row r="44" spans="1:4">
      <c r="A44" s="65" t="s">
        <v>47</v>
      </c>
      <c r="B44" s="64">
        <v>33127</v>
      </c>
      <c r="C44" s="64">
        <v>33529</v>
      </c>
      <c r="D44" s="64">
        <v>402</v>
      </c>
    </row>
  </sheetData>
  <pageMargins left="0.7" right="0.7" top="0.75" bottom="0.75" header="0.3" footer="0.3"/>
  <pageSetup paperSize="9" orientation="portrait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1:C48"/>
  <sheetViews>
    <sheetView zoomScale="86" zoomScaleNormal="86" workbookViewId="0">
      <selection activeCell="N6" sqref="N6"/>
    </sheetView>
  </sheetViews>
  <sheetFormatPr defaultColWidth="8.83203125" defaultRowHeight="15"/>
  <cols>
    <col min="1" max="1" width="16.4140625" style="2" bestFit="1" customWidth="1"/>
    <col min="2" max="3" width="10.25" style="2" customWidth="1"/>
    <col min="4" max="4" width="21.1640625" style="2" customWidth="1"/>
    <col min="5" max="16384" width="8.83203125" style="2"/>
  </cols>
  <sheetData>
    <row r="11" spans="1:3">
      <c r="A11" s="26" t="s">
        <v>33</v>
      </c>
      <c r="B11" s="26" t="s">
        <v>49</v>
      </c>
      <c r="C11" s="26" t="s">
        <v>48</v>
      </c>
    </row>
    <row r="12" spans="1:3">
      <c r="A12" s="58" t="s">
        <v>65</v>
      </c>
      <c r="B12" s="59">
        <v>876</v>
      </c>
      <c r="C12" s="59">
        <v>846</v>
      </c>
    </row>
    <row r="13" spans="1:3">
      <c r="A13" s="58" t="s">
        <v>52</v>
      </c>
      <c r="B13" s="59">
        <v>993</v>
      </c>
      <c r="C13" s="59">
        <v>978</v>
      </c>
    </row>
    <row r="14" spans="1:3">
      <c r="A14" s="58" t="s">
        <v>39</v>
      </c>
      <c r="B14" s="59">
        <v>938</v>
      </c>
      <c r="C14" s="59">
        <v>893</v>
      </c>
    </row>
    <row r="15" spans="1:3">
      <c r="A15" s="58" t="s">
        <v>40</v>
      </c>
      <c r="B15" s="59">
        <v>958</v>
      </c>
      <c r="C15" s="59">
        <v>935</v>
      </c>
    </row>
    <row r="16" spans="1:3">
      <c r="A16" s="58" t="s">
        <v>51</v>
      </c>
      <c r="B16" s="59">
        <v>918</v>
      </c>
      <c r="C16" s="59">
        <v>919</v>
      </c>
    </row>
    <row r="17" spans="1:3">
      <c r="A17" s="58" t="s">
        <v>66</v>
      </c>
      <c r="B17" s="59">
        <v>818</v>
      </c>
      <c r="C17" s="59">
        <v>777</v>
      </c>
    </row>
    <row r="18" spans="1:3">
      <c r="A18" s="58" t="s">
        <v>53</v>
      </c>
      <c r="B18" s="59">
        <v>991</v>
      </c>
      <c r="C18" s="59">
        <v>989</v>
      </c>
    </row>
    <row r="19" spans="1:3">
      <c r="A19" s="58" t="s">
        <v>67</v>
      </c>
      <c r="B19" s="59">
        <v>774</v>
      </c>
      <c r="C19" s="59">
        <v>812</v>
      </c>
    </row>
    <row r="20" spans="1:3">
      <c r="A20" s="58" t="s">
        <v>68</v>
      </c>
      <c r="B20" s="59">
        <v>618</v>
      </c>
      <c r="C20" s="59">
        <v>710</v>
      </c>
    </row>
    <row r="21" spans="1:3">
      <c r="A21" s="58" t="s">
        <v>54</v>
      </c>
      <c r="B21" s="59">
        <v>973</v>
      </c>
      <c r="C21" s="59">
        <v>961</v>
      </c>
    </row>
    <row r="22" spans="1:3">
      <c r="A22" s="58" t="s">
        <v>82</v>
      </c>
      <c r="B22" s="59">
        <v>919</v>
      </c>
      <c r="C22" s="59">
        <v>920</v>
      </c>
    </row>
    <row r="23" spans="1:3">
      <c r="A23" s="58" t="s">
        <v>83</v>
      </c>
      <c r="B23" s="59">
        <v>879</v>
      </c>
      <c r="C23" s="59">
        <v>861</v>
      </c>
    </row>
    <row r="24" spans="1:3">
      <c r="A24" s="58" t="s">
        <v>84</v>
      </c>
      <c r="B24" s="59">
        <v>972</v>
      </c>
      <c r="C24" s="59">
        <v>968</v>
      </c>
    </row>
    <row r="25" spans="1:3">
      <c r="A25" s="58" t="s">
        <v>103</v>
      </c>
      <c r="B25" s="59">
        <v>943</v>
      </c>
      <c r="C25" s="59">
        <v>933</v>
      </c>
    </row>
    <row r="26" spans="1:3">
      <c r="A26" s="58" t="s">
        <v>85</v>
      </c>
      <c r="B26" s="59">
        <v>889</v>
      </c>
      <c r="C26" s="59">
        <v>892</v>
      </c>
    </row>
    <row r="27" spans="1:3">
      <c r="A27" s="58" t="s">
        <v>86</v>
      </c>
      <c r="B27" s="59">
        <v>948</v>
      </c>
      <c r="C27" s="59">
        <v>941</v>
      </c>
    </row>
    <row r="28" spans="1:3">
      <c r="A28" s="58" t="s">
        <v>55</v>
      </c>
      <c r="B28" s="59">
        <v>973</v>
      </c>
      <c r="C28" s="59">
        <v>965</v>
      </c>
    </row>
    <row r="29" spans="1:3">
      <c r="A29" s="58" t="s">
        <v>56</v>
      </c>
      <c r="B29" s="59">
        <v>1084</v>
      </c>
      <c r="C29" s="59">
        <v>1058</v>
      </c>
    </row>
    <row r="30" spans="1:3">
      <c r="A30" s="58" t="s">
        <v>69</v>
      </c>
      <c r="B30" s="59">
        <v>946</v>
      </c>
      <c r="C30" s="59">
        <v>948</v>
      </c>
    </row>
    <row r="31" spans="1:3">
      <c r="A31" s="58" t="s">
        <v>75</v>
      </c>
      <c r="B31" s="59">
        <v>931</v>
      </c>
      <c r="C31" s="59">
        <v>919</v>
      </c>
    </row>
    <row r="32" spans="1:3">
      <c r="A32" s="58" t="s">
        <v>76</v>
      </c>
      <c r="B32" s="59">
        <v>929</v>
      </c>
      <c r="C32" s="59">
        <v>922</v>
      </c>
    </row>
    <row r="33" spans="1:3">
      <c r="A33" s="58" t="s">
        <v>41</v>
      </c>
      <c r="B33" s="59">
        <v>985</v>
      </c>
      <c r="C33" s="59">
        <v>978</v>
      </c>
    </row>
    <row r="34" spans="1:3">
      <c r="A34" s="58" t="s">
        <v>42</v>
      </c>
      <c r="B34" s="59">
        <v>989</v>
      </c>
      <c r="C34" s="59">
        <v>972</v>
      </c>
    </row>
    <row r="35" spans="1:3">
      <c r="A35" s="58" t="s">
        <v>43</v>
      </c>
      <c r="B35" s="59">
        <v>976</v>
      </c>
      <c r="C35" s="59">
        <v>935</v>
      </c>
    </row>
    <row r="36" spans="1:3">
      <c r="A36" s="58" t="s">
        <v>44</v>
      </c>
      <c r="B36" s="59">
        <v>931</v>
      </c>
      <c r="C36" s="59">
        <v>900</v>
      </c>
    </row>
    <row r="37" spans="1:3">
      <c r="A37" s="58" t="s">
        <v>70</v>
      </c>
      <c r="B37" s="59">
        <v>868</v>
      </c>
      <c r="C37" s="59">
        <v>821</v>
      </c>
    </row>
    <row r="38" spans="1:3">
      <c r="A38" s="58" t="s">
        <v>57</v>
      </c>
      <c r="B38" s="59">
        <v>979</v>
      </c>
      <c r="C38" s="59">
        <v>972</v>
      </c>
    </row>
    <row r="39" spans="1:3">
      <c r="A39" s="58" t="s">
        <v>58</v>
      </c>
      <c r="B39" s="59">
        <v>1037</v>
      </c>
      <c r="C39" s="59">
        <v>1001</v>
      </c>
    </row>
    <row r="40" spans="1:3">
      <c r="A40" s="58" t="s">
        <v>87</v>
      </c>
      <c r="B40" s="59">
        <v>895</v>
      </c>
      <c r="C40" s="59">
        <v>876</v>
      </c>
    </row>
    <row r="41" spans="1:3">
      <c r="A41" s="58" t="s">
        <v>88</v>
      </c>
      <c r="B41" s="59">
        <v>928</v>
      </c>
      <c r="C41" s="59">
        <v>921</v>
      </c>
    </row>
    <row r="42" spans="1:3">
      <c r="A42" s="58" t="s">
        <v>45</v>
      </c>
      <c r="B42" s="59">
        <v>890</v>
      </c>
      <c r="C42" s="59">
        <v>875</v>
      </c>
    </row>
    <row r="43" spans="1:3">
      <c r="A43" s="58" t="s">
        <v>59</v>
      </c>
      <c r="B43" s="59">
        <v>996</v>
      </c>
      <c r="C43" s="59">
        <v>987</v>
      </c>
    </row>
    <row r="44" spans="1:3">
      <c r="A44" s="58" t="s">
        <v>46</v>
      </c>
      <c r="B44" s="59">
        <v>960</v>
      </c>
      <c r="C44" s="59">
        <v>948</v>
      </c>
    </row>
    <row r="45" spans="1:3">
      <c r="A45" s="58" t="s">
        <v>77</v>
      </c>
      <c r="B45" s="59">
        <v>912</v>
      </c>
      <c r="C45" s="59">
        <v>898</v>
      </c>
    </row>
    <row r="46" spans="1:3">
      <c r="A46" s="58" t="s">
        <v>89</v>
      </c>
      <c r="B46" s="59">
        <v>963</v>
      </c>
      <c r="C46" s="59">
        <v>962</v>
      </c>
    </row>
    <row r="47" spans="1:3">
      <c r="A47" s="58" t="s">
        <v>78</v>
      </c>
      <c r="B47" s="59">
        <v>950</v>
      </c>
      <c r="C47" s="59">
        <v>934</v>
      </c>
    </row>
    <row r="48" spans="1:3">
      <c r="A48" s="27" t="s">
        <v>47</v>
      </c>
      <c r="B48" s="28">
        <v>33529</v>
      </c>
      <c r="C48" s="28">
        <v>33127</v>
      </c>
    </row>
  </sheetData>
  <pageMargins left="0.7" right="0.7" top="0.75" bottom="0.75" header="0.3" footer="0.3"/>
  <pageSetup paperSize="9" orientation="portrait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3:G40"/>
  <sheetViews>
    <sheetView topLeftCell="A3" zoomScale="86" zoomScaleNormal="86" workbookViewId="0">
      <selection activeCell="C18" sqref="C18"/>
    </sheetView>
  </sheetViews>
  <sheetFormatPr defaultColWidth="8.83203125" defaultRowHeight="15"/>
  <cols>
    <col min="1" max="1" width="12.08203125" style="2" bestFit="1" customWidth="1"/>
    <col min="2" max="2" width="14.9140625" style="2" customWidth="1"/>
    <col min="3" max="3" width="9.9140625" style="2" customWidth="1"/>
    <col min="4" max="4" width="15" style="2" customWidth="1"/>
    <col min="5" max="6" width="11.08203125" style="2" customWidth="1"/>
    <col min="7" max="7" width="10.58203125" style="25" customWidth="1"/>
    <col min="8" max="16384" width="8.83203125" style="2"/>
  </cols>
  <sheetData>
    <row r="3" spans="1:7">
      <c r="G3" s="2"/>
    </row>
    <row r="4" spans="1:7">
      <c r="G4" s="2"/>
    </row>
    <row r="5" spans="1:7">
      <c r="G5" s="2"/>
    </row>
    <row r="6" spans="1:7">
      <c r="G6" s="2"/>
    </row>
    <row r="7" spans="1:7">
      <c r="G7" s="2"/>
    </row>
    <row r="8" spans="1:7">
      <c r="G8" s="2"/>
    </row>
    <row r="9" spans="1:7">
      <c r="G9" s="2"/>
    </row>
    <row r="10" spans="1:7">
      <c r="G10" s="2"/>
    </row>
    <row r="11" spans="1:7">
      <c r="G11" s="2"/>
    </row>
    <row r="12" spans="1:7">
      <c r="G12" s="2"/>
    </row>
    <row r="13" spans="1:7">
      <c r="A13" s="57" t="s">
        <v>60</v>
      </c>
      <c r="B13" s="57" t="s">
        <v>61</v>
      </c>
      <c r="G13" s="2"/>
    </row>
    <row r="14" spans="1:7">
      <c r="G14" s="2"/>
    </row>
    <row r="15" spans="1:7">
      <c r="A15" s="61" t="s">
        <v>33</v>
      </c>
      <c r="B15" s="68" t="s">
        <v>62</v>
      </c>
      <c r="C15" s="68" t="s">
        <v>63</v>
      </c>
      <c r="D15" s="61" t="s">
        <v>64</v>
      </c>
      <c r="G15" s="2"/>
    </row>
    <row r="16" spans="1:7">
      <c r="A16" s="67" t="s">
        <v>65</v>
      </c>
      <c r="B16" s="66">
        <v>1.0564417177914109</v>
      </c>
      <c r="C16" s="66">
        <v>1.0034324942791761</v>
      </c>
      <c r="D16" s="66">
        <v>1.0299371060352935</v>
      </c>
      <c r="G16" s="2"/>
    </row>
    <row r="17" spans="1:7">
      <c r="A17" s="67" t="s">
        <v>66</v>
      </c>
      <c r="B17" s="66">
        <v>0.78015075376884424</v>
      </c>
      <c r="C17" s="66">
        <v>0.83941605839416056</v>
      </c>
      <c r="D17" s="66">
        <v>0.80978340608150234</v>
      </c>
      <c r="G17" s="2"/>
    </row>
    <row r="18" spans="1:7">
      <c r="A18" s="67" t="s">
        <v>67</v>
      </c>
      <c r="B18" s="66">
        <v>1.2329956584659914</v>
      </c>
      <c r="C18" s="66">
        <v>1.2653958944281525</v>
      </c>
      <c r="D18" s="66">
        <v>1.2491957764470718</v>
      </c>
      <c r="G18" s="2"/>
    </row>
    <row r="19" spans="1:7">
      <c r="A19" s="67" t="s">
        <v>68</v>
      </c>
      <c r="B19" s="66">
        <v>0.59552845528455289</v>
      </c>
      <c r="C19" s="66">
        <v>1.5680580762250453</v>
      </c>
      <c r="D19" s="66">
        <v>1.0817932657547991</v>
      </c>
      <c r="G19" s="2"/>
    </row>
    <row r="20" spans="1:7">
      <c r="A20" s="67" t="s">
        <v>69</v>
      </c>
      <c r="B20" s="66">
        <v>1.0256684491978609</v>
      </c>
      <c r="C20" s="66">
        <v>1.0074074074074073</v>
      </c>
      <c r="D20" s="66">
        <v>1.0165379283026341</v>
      </c>
      <c r="G20" s="2"/>
    </row>
    <row r="21" spans="1:7">
      <c r="A21" s="67" t="s">
        <v>70</v>
      </c>
      <c r="B21" s="66">
        <v>0.98540145985401462</v>
      </c>
      <c r="C21" s="66">
        <v>0.98156682027649766</v>
      </c>
      <c r="D21" s="66">
        <v>0.98348414006525608</v>
      </c>
      <c r="G21" s="2"/>
    </row>
    <row r="22" spans="1:7">
      <c r="A22" s="67" t="s">
        <v>58</v>
      </c>
      <c r="B22" s="66">
        <v>0.98311817279046676</v>
      </c>
      <c r="C22" s="66">
        <v>0.98656429942418422</v>
      </c>
      <c r="D22" s="66">
        <v>0.98484123610732555</v>
      </c>
      <c r="G22" s="2"/>
    </row>
    <row r="23" spans="1:7">
      <c r="A23" s="62" t="s">
        <v>47</v>
      </c>
      <c r="B23" s="68">
        <v>0.93867768595041323</v>
      </c>
      <c r="C23" s="68">
        <v>1.0591286307053942</v>
      </c>
      <c r="D23" s="68">
        <v>0.99890315832790377</v>
      </c>
      <c r="G23" s="2"/>
    </row>
    <row r="24" spans="1:7">
      <c r="G24" s="2"/>
    </row>
    <row r="25" spans="1:7">
      <c r="G25" s="2"/>
    </row>
    <row r="26" spans="1:7">
      <c r="G26" s="2"/>
    </row>
    <row r="27" spans="1:7">
      <c r="G27" s="2"/>
    </row>
    <row r="28" spans="1:7">
      <c r="G28" s="2"/>
    </row>
    <row r="29" spans="1:7">
      <c r="G29" s="2"/>
    </row>
    <row r="30" spans="1:7">
      <c r="G30" s="2"/>
    </row>
    <row r="31" spans="1:7">
      <c r="G31" s="2"/>
    </row>
    <row r="32" spans="1:7">
      <c r="G32" s="2"/>
    </row>
    <row r="33" spans="7:7">
      <c r="G33" s="2"/>
    </row>
    <row r="34" spans="7:7">
      <c r="G34" s="2"/>
    </row>
    <row r="35" spans="7:7">
      <c r="G35" s="2"/>
    </row>
    <row r="36" spans="7:7">
      <c r="G36" s="2"/>
    </row>
    <row r="37" spans="7:7">
      <c r="G37" s="2"/>
    </row>
    <row r="38" spans="7:7">
      <c r="G38" s="2"/>
    </row>
    <row r="39" spans="7:7">
      <c r="G39" s="2"/>
    </row>
    <row r="40" spans="7:7">
      <c r="G40" s="2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7:E13"/>
  <sheetViews>
    <sheetView zoomScale="86" zoomScaleNormal="86" workbookViewId="0">
      <selection activeCell="E9" sqref="E9"/>
    </sheetView>
  </sheetViews>
  <sheetFormatPr defaultColWidth="8.83203125" defaultRowHeight="15"/>
  <cols>
    <col min="1" max="1" width="14.33203125" style="2" customWidth="1"/>
    <col min="2" max="3" width="20.08203125" style="2" customWidth="1"/>
    <col min="4" max="5" width="16.08203125" style="2" customWidth="1"/>
    <col min="6" max="13" width="4.1640625" style="2" customWidth="1"/>
    <col min="14" max="14" width="5.33203125" style="2" customWidth="1"/>
    <col min="15" max="19" width="4.1640625" style="2" customWidth="1"/>
    <col min="20" max="20" width="5.33203125" style="2" customWidth="1"/>
    <col min="21" max="21" width="4.1640625" style="2" customWidth="1"/>
    <col min="22" max="22" width="5.33203125" style="2" customWidth="1"/>
    <col min="23" max="26" width="4.1640625" style="2" customWidth="1"/>
    <col min="27" max="28" width="5.33203125" style="2" customWidth="1"/>
    <col min="29" max="30" width="4.1640625" style="2" customWidth="1"/>
    <col min="31" max="32" width="5.33203125" style="2" customWidth="1"/>
    <col min="33" max="33" width="22.5" style="2" customWidth="1"/>
    <col min="34" max="44" width="4.1640625" style="2" customWidth="1"/>
    <col min="45" max="45" width="5.33203125" style="2" customWidth="1"/>
    <col min="46" max="50" width="4.1640625" style="2" customWidth="1"/>
    <col min="51" max="51" width="5.33203125" style="2" customWidth="1"/>
    <col min="52" max="52" width="4.1640625" style="2" customWidth="1"/>
    <col min="53" max="53" width="5.33203125" style="2" customWidth="1"/>
    <col min="54" max="57" width="4.1640625" style="2" customWidth="1"/>
    <col min="58" max="59" width="5.33203125" style="2" customWidth="1"/>
    <col min="60" max="61" width="4.1640625" style="2" customWidth="1"/>
    <col min="62" max="63" width="5.33203125" style="2" customWidth="1"/>
    <col min="64" max="65" width="27.58203125" style="2" customWidth="1"/>
    <col min="66" max="16384" width="8.83203125" style="2"/>
  </cols>
  <sheetData>
    <row r="7" spans="1:5">
      <c r="A7" s="3" t="s">
        <v>33</v>
      </c>
      <c r="B7" s="3" t="s">
        <v>71</v>
      </c>
      <c r="C7" s="3" t="s">
        <v>72</v>
      </c>
      <c r="D7" s="3" t="s">
        <v>73</v>
      </c>
      <c r="E7" s="3" t="s">
        <v>74</v>
      </c>
    </row>
    <row r="8" spans="1:5">
      <c r="A8" s="21" t="s">
        <v>51</v>
      </c>
      <c r="B8" s="22">
        <v>942</v>
      </c>
      <c r="C8" s="22">
        <v>935</v>
      </c>
      <c r="D8" s="22">
        <v>919</v>
      </c>
      <c r="E8" s="22">
        <v>918</v>
      </c>
    </row>
    <row r="9" spans="1:5">
      <c r="A9" s="21" t="s">
        <v>75</v>
      </c>
      <c r="B9" s="22">
        <v>932</v>
      </c>
      <c r="C9" s="22">
        <v>918</v>
      </c>
      <c r="D9" s="22">
        <v>919</v>
      </c>
      <c r="E9" s="22">
        <v>931</v>
      </c>
    </row>
    <row r="10" spans="1:5">
      <c r="A10" s="21" t="s">
        <v>76</v>
      </c>
      <c r="B10" s="22">
        <v>913</v>
      </c>
      <c r="C10" s="22">
        <v>894</v>
      </c>
      <c r="D10" s="22">
        <v>922</v>
      </c>
      <c r="E10" s="22">
        <v>929</v>
      </c>
    </row>
    <row r="11" spans="1:5">
      <c r="A11" s="21" t="s">
        <v>77</v>
      </c>
      <c r="B11" s="22">
        <v>916</v>
      </c>
      <c r="C11" s="22">
        <v>902</v>
      </c>
      <c r="D11" s="22">
        <v>898</v>
      </c>
      <c r="E11" s="22">
        <v>912</v>
      </c>
    </row>
    <row r="12" spans="1:5">
      <c r="A12" s="21" t="s">
        <v>78</v>
      </c>
      <c r="B12" s="22">
        <v>960</v>
      </c>
      <c r="C12" s="22">
        <v>956</v>
      </c>
      <c r="D12" s="22">
        <v>934</v>
      </c>
      <c r="E12" s="22">
        <v>950</v>
      </c>
    </row>
    <row r="13" spans="1:5">
      <c r="A13" s="23" t="s">
        <v>47</v>
      </c>
      <c r="B13" s="24">
        <v>4663</v>
      </c>
      <c r="C13" s="24">
        <v>4605</v>
      </c>
      <c r="D13" s="24">
        <v>4592</v>
      </c>
      <c r="E13" s="24">
        <v>4640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3:C319"/>
  <sheetViews>
    <sheetView topLeftCell="A3" zoomScale="89" zoomScaleNormal="89" workbookViewId="0">
      <selection activeCell="H30" sqref="H30"/>
    </sheetView>
  </sheetViews>
  <sheetFormatPr defaultColWidth="8.83203125" defaultRowHeight="15"/>
  <cols>
    <col min="1" max="1" width="16.4140625" style="2" customWidth="1"/>
    <col min="2" max="2" width="17.83203125" style="2" customWidth="1"/>
    <col min="3" max="3" width="17.9140625" style="2" customWidth="1"/>
    <col min="4" max="16384" width="8.83203125" style="2"/>
  </cols>
  <sheetData>
    <row r="3" spans="1:3">
      <c r="A3" s="3" t="s">
        <v>79</v>
      </c>
      <c r="B3" s="3" t="s">
        <v>80</v>
      </c>
      <c r="C3" s="3" t="s">
        <v>81</v>
      </c>
    </row>
    <row r="4" spans="1:3">
      <c r="A4" s="21" t="s">
        <v>78</v>
      </c>
      <c r="B4" s="22">
        <v>20</v>
      </c>
      <c r="C4" s="22">
        <v>15</v>
      </c>
    </row>
    <row r="5" spans="1:3">
      <c r="A5" s="21" t="s">
        <v>65</v>
      </c>
      <c r="B5" s="22">
        <v>10</v>
      </c>
      <c r="C5" s="22">
        <v>30</v>
      </c>
    </row>
    <row r="6" spans="1:3">
      <c r="A6" s="21" t="s">
        <v>52</v>
      </c>
      <c r="B6" s="22">
        <v>32</v>
      </c>
      <c r="C6" s="22">
        <v>4</v>
      </c>
    </row>
    <row r="7" spans="1:3">
      <c r="A7" s="21" t="s">
        <v>39</v>
      </c>
      <c r="B7" s="22">
        <v>35</v>
      </c>
      <c r="C7" s="22">
        <v>19</v>
      </c>
    </row>
    <row r="8" spans="1:3">
      <c r="A8" s="21" t="s">
        <v>40</v>
      </c>
      <c r="B8" s="22">
        <v>27</v>
      </c>
      <c r="C8" s="22">
        <v>14</v>
      </c>
    </row>
    <row r="9" spans="1:3">
      <c r="A9" s="21" t="s">
        <v>51</v>
      </c>
      <c r="B9" s="22">
        <v>36</v>
      </c>
      <c r="C9" s="22">
        <v>24</v>
      </c>
    </row>
    <row r="10" spans="1:3">
      <c r="A10" s="21" t="s">
        <v>66</v>
      </c>
      <c r="B10" s="22">
        <v>8</v>
      </c>
      <c r="C10" s="22">
        <v>32</v>
      </c>
    </row>
    <row r="11" spans="1:3">
      <c r="A11" s="21" t="s">
        <v>53</v>
      </c>
      <c r="B11" s="22">
        <v>28</v>
      </c>
      <c r="C11" s="22">
        <v>5</v>
      </c>
    </row>
    <row r="12" spans="1:3">
      <c r="A12" s="21" t="s">
        <v>67</v>
      </c>
      <c r="B12" s="22">
        <v>19</v>
      </c>
      <c r="C12" s="22">
        <v>33</v>
      </c>
    </row>
    <row r="13" spans="1:3">
      <c r="A13" s="21" t="s">
        <v>68</v>
      </c>
      <c r="B13" s="22">
        <v>6</v>
      </c>
      <c r="C13" s="22">
        <v>34</v>
      </c>
    </row>
    <row r="14" spans="1:3">
      <c r="A14" s="21" t="s">
        <v>54</v>
      </c>
      <c r="B14" s="22">
        <v>5</v>
      </c>
      <c r="C14" s="22">
        <v>10</v>
      </c>
    </row>
    <row r="15" spans="1:3">
      <c r="A15" s="21" t="s">
        <v>82</v>
      </c>
      <c r="B15" s="22">
        <v>18</v>
      </c>
      <c r="C15" s="22">
        <v>23</v>
      </c>
    </row>
    <row r="16" spans="1:3">
      <c r="A16" s="21" t="s">
        <v>83</v>
      </c>
      <c r="B16" s="22">
        <v>22</v>
      </c>
      <c r="C16" s="22">
        <v>29</v>
      </c>
    </row>
    <row r="17" spans="1:3">
      <c r="A17" s="21" t="s">
        <v>84</v>
      </c>
      <c r="B17" s="22">
        <v>11</v>
      </c>
      <c r="C17" s="22">
        <v>11</v>
      </c>
    </row>
    <row r="18" spans="1:3">
      <c r="A18" s="21" t="s">
        <v>85</v>
      </c>
      <c r="B18" s="22">
        <v>31</v>
      </c>
      <c r="C18" s="22">
        <v>28</v>
      </c>
    </row>
    <row r="19" spans="1:3">
      <c r="A19" s="21" t="s">
        <v>86</v>
      </c>
      <c r="B19" s="22">
        <v>33</v>
      </c>
      <c r="C19" s="22">
        <v>16</v>
      </c>
    </row>
    <row r="20" spans="1:3">
      <c r="A20" s="21" t="s">
        <v>55</v>
      </c>
      <c r="B20" s="22">
        <v>23</v>
      </c>
      <c r="C20" s="22">
        <v>10</v>
      </c>
    </row>
    <row r="21" spans="1:3">
      <c r="A21" s="21" t="s">
        <v>56</v>
      </c>
      <c r="B21" s="22">
        <v>1</v>
      </c>
      <c r="C21" s="22">
        <v>1</v>
      </c>
    </row>
    <row r="22" spans="1:3">
      <c r="A22" s="21" t="s">
        <v>69</v>
      </c>
      <c r="B22" s="22">
        <v>2</v>
      </c>
      <c r="C22" s="22">
        <v>17</v>
      </c>
    </row>
    <row r="23" spans="1:3">
      <c r="A23" s="21" t="s">
        <v>75</v>
      </c>
      <c r="B23" s="22">
        <v>29</v>
      </c>
      <c r="C23" s="22">
        <v>20</v>
      </c>
    </row>
    <row r="24" spans="1:3">
      <c r="A24" s="21" t="s">
        <v>76</v>
      </c>
      <c r="B24" s="22">
        <v>12</v>
      </c>
      <c r="C24" s="22">
        <v>21</v>
      </c>
    </row>
    <row r="25" spans="1:3">
      <c r="A25" s="21" t="s">
        <v>41</v>
      </c>
      <c r="B25" s="22">
        <v>16</v>
      </c>
      <c r="C25" s="22">
        <v>7</v>
      </c>
    </row>
    <row r="26" spans="1:3">
      <c r="A26" s="21" t="s">
        <v>42</v>
      </c>
      <c r="B26" s="22">
        <v>24</v>
      </c>
      <c r="C26" s="22">
        <v>6</v>
      </c>
    </row>
    <row r="27" spans="1:3">
      <c r="A27" s="21" t="s">
        <v>43</v>
      </c>
      <c r="B27" s="22">
        <v>3</v>
      </c>
      <c r="C27" s="22">
        <v>9</v>
      </c>
    </row>
    <row r="28" spans="1:3">
      <c r="A28" s="21" t="s">
        <v>44</v>
      </c>
      <c r="B28" s="22">
        <v>15</v>
      </c>
      <c r="C28" s="22">
        <v>20</v>
      </c>
    </row>
    <row r="29" spans="1:3">
      <c r="A29" s="21" t="s">
        <v>70</v>
      </c>
      <c r="B29" s="22">
        <v>9</v>
      </c>
      <c r="C29" s="22">
        <v>31</v>
      </c>
    </row>
    <row r="30" spans="1:3">
      <c r="A30" s="21" t="s">
        <v>57</v>
      </c>
      <c r="B30" s="22">
        <v>26</v>
      </c>
      <c r="C30" s="22">
        <v>8</v>
      </c>
    </row>
    <row r="31" spans="1:3">
      <c r="A31" s="21" t="s">
        <v>58</v>
      </c>
      <c r="B31" s="22">
        <v>7</v>
      </c>
      <c r="C31" s="22">
        <v>2</v>
      </c>
    </row>
    <row r="32" spans="1:3">
      <c r="A32" s="21" t="s">
        <v>87</v>
      </c>
      <c r="B32" s="22">
        <v>21</v>
      </c>
      <c r="C32" s="22">
        <v>26</v>
      </c>
    </row>
    <row r="33" spans="1:3">
      <c r="A33" s="21" t="s">
        <v>88</v>
      </c>
      <c r="B33" s="22">
        <v>34</v>
      </c>
      <c r="C33" s="22">
        <v>22</v>
      </c>
    </row>
    <row r="34" spans="1:3">
      <c r="A34" s="21" t="s">
        <v>45</v>
      </c>
      <c r="B34" s="22">
        <v>13</v>
      </c>
      <c r="C34" s="22">
        <v>27</v>
      </c>
    </row>
    <row r="35" spans="1:3">
      <c r="A35" s="21" t="s">
        <v>59</v>
      </c>
      <c r="B35" s="22">
        <v>14</v>
      </c>
      <c r="C35" s="22">
        <v>3</v>
      </c>
    </row>
    <row r="36" spans="1:3">
      <c r="A36" s="21" t="s">
        <v>46</v>
      </c>
      <c r="B36" s="22">
        <v>4</v>
      </c>
      <c r="C36" s="22">
        <v>13</v>
      </c>
    </row>
    <row r="37" spans="1:3">
      <c r="A37" s="21" t="s">
        <v>77</v>
      </c>
      <c r="B37" s="22">
        <v>30</v>
      </c>
      <c r="C37" s="22">
        <v>25</v>
      </c>
    </row>
    <row r="38" spans="1:3">
      <c r="A38" s="21" t="s">
        <v>89</v>
      </c>
      <c r="B38" s="22">
        <v>17</v>
      </c>
      <c r="C38" s="22">
        <v>12</v>
      </c>
    </row>
    <row r="39" spans="1:3">
      <c r="A39" s="23" t="s">
        <v>47</v>
      </c>
      <c r="B39" s="24">
        <v>641</v>
      </c>
      <c r="C39" s="24">
        <v>607</v>
      </c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  <row r="186" spans="1:3">
      <c r="A186"/>
      <c r="B186"/>
      <c r="C186"/>
    </row>
    <row r="187" spans="1:3">
      <c r="A187"/>
      <c r="B187"/>
      <c r="C187"/>
    </row>
    <row r="188" spans="1:3">
      <c r="A188"/>
      <c r="B188"/>
      <c r="C188"/>
    </row>
    <row r="189" spans="1:3">
      <c r="A189"/>
      <c r="B189"/>
      <c r="C189"/>
    </row>
    <row r="190" spans="1:3">
      <c r="A190"/>
      <c r="B190"/>
      <c r="C190"/>
    </row>
    <row r="191" spans="1:3">
      <c r="A191"/>
      <c r="B191"/>
      <c r="C191"/>
    </row>
    <row r="192" spans="1:3">
      <c r="A192"/>
      <c r="B192"/>
      <c r="C192"/>
    </row>
    <row r="193" spans="1:3">
      <c r="A193"/>
      <c r="B193"/>
      <c r="C193"/>
    </row>
    <row r="194" spans="1:3">
      <c r="A194"/>
      <c r="B194"/>
      <c r="C194"/>
    </row>
    <row r="195" spans="1:3">
      <c r="A195"/>
      <c r="B195"/>
      <c r="C195"/>
    </row>
    <row r="196" spans="1:3">
      <c r="A196"/>
      <c r="B196"/>
      <c r="C196"/>
    </row>
    <row r="197" spans="1:3">
      <c r="A197"/>
      <c r="B197"/>
      <c r="C197"/>
    </row>
    <row r="198" spans="1:3">
      <c r="A198"/>
      <c r="B198"/>
      <c r="C198"/>
    </row>
    <row r="199" spans="1:3">
      <c r="A199"/>
      <c r="B199"/>
      <c r="C199"/>
    </row>
    <row r="200" spans="1:3">
      <c r="A200"/>
      <c r="B200"/>
      <c r="C200"/>
    </row>
    <row r="201" spans="1:3">
      <c r="A201"/>
      <c r="B201"/>
      <c r="C201"/>
    </row>
    <row r="202" spans="1:3">
      <c r="A202"/>
      <c r="B202"/>
      <c r="C202"/>
    </row>
    <row r="203" spans="1:3">
      <c r="A203"/>
      <c r="B203"/>
      <c r="C203"/>
    </row>
    <row r="204" spans="1:3">
      <c r="A204"/>
      <c r="B204"/>
      <c r="C204"/>
    </row>
    <row r="205" spans="1:3">
      <c r="A205"/>
      <c r="B205"/>
      <c r="C205"/>
    </row>
    <row r="206" spans="1:3">
      <c r="A206"/>
      <c r="B206"/>
      <c r="C206"/>
    </row>
    <row r="207" spans="1:3">
      <c r="A207"/>
      <c r="B207"/>
      <c r="C207"/>
    </row>
    <row r="208" spans="1:3">
      <c r="A208"/>
      <c r="B208"/>
      <c r="C208"/>
    </row>
    <row r="209" spans="1:3">
      <c r="A209"/>
      <c r="B209"/>
      <c r="C209"/>
    </row>
    <row r="210" spans="1:3">
      <c r="A210"/>
      <c r="B210"/>
      <c r="C210"/>
    </row>
    <row r="211" spans="1:3">
      <c r="A211"/>
      <c r="B211"/>
      <c r="C211"/>
    </row>
    <row r="212" spans="1:3">
      <c r="A212"/>
      <c r="B212"/>
      <c r="C212"/>
    </row>
    <row r="213" spans="1:3">
      <c r="A213"/>
      <c r="B213"/>
      <c r="C213"/>
    </row>
    <row r="214" spans="1:3">
      <c r="A214"/>
      <c r="B214"/>
      <c r="C214"/>
    </row>
    <row r="215" spans="1:3">
      <c r="A215"/>
      <c r="B215"/>
      <c r="C215"/>
    </row>
    <row r="216" spans="1:3">
      <c r="A216"/>
      <c r="B216"/>
      <c r="C216"/>
    </row>
    <row r="217" spans="1:3">
      <c r="A217"/>
      <c r="B217"/>
      <c r="C217"/>
    </row>
    <row r="218" spans="1:3">
      <c r="A218"/>
      <c r="B218"/>
      <c r="C218"/>
    </row>
    <row r="219" spans="1:3">
      <c r="A219"/>
      <c r="B219"/>
      <c r="C219"/>
    </row>
    <row r="220" spans="1:3">
      <c r="A220"/>
      <c r="B220"/>
      <c r="C220"/>
    </row>
    <row r="221" spans="1:3">
      <c r="A221"/>
      <c r="B221"/>
      <c r="C221"/>
    </row>
    <row r="222" spans="1:3">
      <c r="A222"/>
      <c r="B222"/>
      <c r="C222"/>
    </row>
    <row r="223" spans="1:3">
      <c r="A223"/>
      <c r="B223"/>
      <c r="C223"/>
    </row>
    <row r="224" spans="1:3">
      <c r="A224"/>
      <c r="B224"/>
      <c r="C224"/>
    </row>
    <row r="225" spans="1:3">
      <c r="A225"/>
      <c r="B225"/>
      <c r="C225"/>
    </row>
    <row r="226" spans="1:3">
      <c r="A226"/>
      <c r="B226"/>
      <c r="C226"/>
    </row>
    <row r="227" spans="1:3">
      <c r="A227"/>
      <c r="B227"/>
      <c r="C227"/>
    </row>
    <row r="228" spans="1:3">
      <c r="A228"/>
      <c r="B228"/>
      <c r="C228"/>
    </row>
    <row r="229" spans="1:3">
      <c r="A229"/>
      <c r="B229"/>
      <c r="C229"/>
    </row>
    <row r="230" spans="1:3">
      <c r="A230"/>
      <c r="B230"/>
      <c r="C230"/>
    </row>
    <row r="231" spans="1:3">
      <c r="A231"/>
      <c r="B231"/>
      <c r="C231"/>
    </row>
    <row r="232" spans="1:3">
      <c r="A232"/>
      <c r="B232"/>
      <c r="C232"/>
    </row>
    <row r="233" spans="1:3">
      <c r="A233"/>
      <c r="B233"/>
      <c r="C233"/>
    </row>
    <row r="234" spans="1:3">
      <c r="A234"/>
      <c r="B234"/>
      <c r="C234"/>
    </row>
    <row r="235" spans="1:3">
      <c r="A235"/>
      <c r="B235"/>
      <c r="C235"/>
    </row>
    <row r="236" spans="1:3">
      <c r="A236"/>
      <c r="B236"/>
      <c r="C236"/>
    </row>
    <row r="237" spans="1:3">
      <c r="A237"/>
      <c r="B237"/>
      <c r="C237"/>
    </row>
    <row r="238" spans="1:3">
      <c r="A238"/>
      <c r="B238"/>
      <c r="C238"/>
    </row>
    <row r="239" spans="1:3">
      <c r="A239"/>
      <c r="B239"/>
      <c r="C239"/>
    </row>
    <row r="240" spans="1:3">
      <c r="A240"/>
      <c r="B240"/>
      <c r="C240"/>
    </row>
    <row r="241" spans="1:3">
      <c r="A241"/>
      <c r="B241"/>
      <c r="C241"/>
    </row>
    <row r="242" spans="1:3">
      <c r="A242"/>
      <c r="B242"/>
      <c r="C242"/>
    </row>
    <row r="243" spans="1:3">
      <c r="A243"/>
      <c r="B243"/>
      <c r="C243"/>
    </row>
    <row r="244" spans="1:3">
      <c r="A244"/>
      <c r="B244"/>
      <c r="C244"/>
    </row>
    <row r="245" spans="1:3">
      <c r="A245"/>
      <c r="B245"/>
      <c r="C245"/>
    </row>
    <row r="246" spans="1:3">
      <c r="A246"/>
      <c r="B246"/>
      <c r="C246"/>
    </row>
    <row r="247" spans="1:3">
      <c r="A247"/>
      <c r="B247"/>
      <c r="C247"/>
    </row>
    <row r="248" spans="1:3">
      <c r="A248"/>
      <c r="B248"/>
      <c r="C248"/>
    </row>
    <row r="249" spans="1:3">
      <c r="A249"/>
      <c r="B249"/>
      <c r="C249"/>
    </row>
    <row r="250" spans="1:3">
      <c r="A250"/>
      <c r="B250"/>
      <c r="C250"/>
    </row>
    <row r="251" spans="1:3">
      <c r="A251"/>
      <c r="B251"/>
      <c r="C251"/>
    </row>
    <row r="252" spans="1:3">
      <c r="A252"/>
      <c r="B252"/>
      <c r="C252"/>
    </row>
    <row r="253" spans="1:3">
      <c r="A253"/>
      <c r="B253"/>
      <c r="C253"/>
    </row>
    <row r="254" spans="1:3">
      <c r="A254"/>
      <c r="B254"/>
      <c r="C254"/>
    </row>
    <row r="255" spans="1:3">
      <c r="A255"/>
      <c r="B255"/>
      <c r="C255"/>
    </row>
    <row r="256" spans="1:3">
      <c r="A256"/>
      <c r="B256"/>
      <c r="C256"/>
    </row>
    <row r="257" spans="1:3">
      <c r="A257"/>
      <c r="B257"/>
      <c r="C257"/>
    </row>
    <row r="258" spans="1:3">
      <c r="A258"/>
      <c r="B258"/>
      <c r="C258"/>
    </row>
    <row r="259" spans="1:3">
      <c r="A259"/>
      <c r="B259"/>
      <c r="C259"/>
    </row>
    <row r="260" spans="1:3">
      <c r="A260"/>
      <c r="B260"/>
      <c r="C260"/>
    </row>
    <row r="261" spans="1:3">
      <c r="A261"/>
      <c r="B261"/>
      <c r="C261"/>
    </row>
    <row r="262" spans="1:3">
      <c r="A262"/>
      <c r="B262"/>
      <c r="C262"/>
    </row>
    <row r="263" spans="1:3">
      <c r="A263"/>
      <c r="B263"/>
      <c r="C263"/>
    </row>
    <row r="264" spans="1:3">
      <c r="A264"/>
      <c r="B264"/>
      <c r="C264"/>
    </row>
    <row r="265" spans="1:3">
      <c r="A265"/>
      <c r="B265"/>
      <c r="C265"/>
    </row>
    <row r="266" spans="1:3">
      <c r="A266"/>
      <c r="B266"/>
      <c r="C266"/>
    </row>
    <row r="267" spans="1:3">
      <c r="A267"/>
      <c r="B267"/>
      <c r="C267"/>
    </row>
    <row r="268" spans="1:3">
      <c r="A268"/>
      <c r="B268"/>
      <c r="C268"/>
    </row>
    <row r="269" spans="1:3">
      <c r="A269"/>
      <c r="B269"/>
      <c r="C269"/>
    </row>
    <row r="270" spans="1:3">
      <c r="A270"/>
      <c r="B270"/>
      <c r="C270"/>
    </row>
    <row r="271" spans="1:3">
      <c r="A271"/>
      <c r="B271"/>
      <c r="C271"/>
    </row>
    <row r="272" spans="1:3">
      <c r="A272"/>
      <c r="B272"/>
      <c r="C272"/>
    </row>
    <row r="273" spans="1:3">
      <c r="A273"/>
      <c r="B273"/>
      <c r="C273"/>
    </row>
    <row r="274" spans="1:3">
      <c r="A274"/>
      <c r="B274"/>
      <c r="C274"/>
    </row>
    <row r="275" spans="1:3">
      <c r="A275"/>
      <c r="B275"/>
      <c r="C275"/>
    </row>
    <row r="276" spans="1:3">
      <c r="A276"/>
      <c r="B276"/>
      <c r="C276"/>
    </row>
    <row r="277" spans="1:3">
      <c r="A277"/>
      <c r="B277"/>
      <c r="C277"/>
    </row>
    <row r="278" spans="1:3">
      <c r="A278"/>
      <c r="B278"/>
      <c r="C278"/>
    </row>
    <row r="279" spans="1:3">
      <c r="A279"/>
      <c r="B279"/>
      <c r="C279"/>
    </row>
    <row r="280" spans="1:3">
      <c r="A280"/>
      <c r="B280"/>
      <c r="C280"/>
    </row>
    <row r="281" spans="1:3">
      <c r="A281"/>
      <c r="B281"/>
      <c r="C281"/>
    </row>
    <row r="282" spans="1:3">
      <c r="A282"/>
      <c r="B282"/>
      <c r="C282"/>
    </row>
    <row r="283" spans="1:3">
      <c r="A283"/>
      <c r="B283"/>
      <c r="C283"/>
    </row>
    <row r="284" spans="1:3">
      <c r="A284"/>
      <c r="B284"/>
      <c r="C284"/>
    </row>
    <row r="285" spans="1:3">
      <c r="A285"/>
      <c r="B285"/>
      <c r="C285"/>
    </row>
    <row r="286" spans="1:3">
      <c r="A286"/>
      <c r="B286"/>
      <c r="C286"/>
    </row>
    <row r="287" spans="1:3">
      <c r="A287"/>
      <c r="B287"/>
      <c r="C287"/>
    </row>
    <row r="288" spans="1:3">
      <c r="A288"/>
      <c r="B288"/>
      <c r="C288"/>
    </row>
    <row r="289" spans="1:3">
      <c r="A289"/>
      <c r="B289"/>
      <c r="C289"/>
    </row>
    <row r="290" spans="1:3">
      <c r="A290"/>
      <c r="B290"/>
      <c r="C290"/>
    </row>
    <row r="291" spans="1:3">
      <c r="A291"/>
      <c r="B291"/>
      <c r="C291"/>
    </row>
    <row r="292" spans="1:3">
      <c r="A292"/>
      <c r="B292"/>
      <c r="C292"/>
    </row>
    <row r="293" spans="1:3">
      <c r="A293"/>
      <c r="B293"/>
      <c r="C293"/>
    </row>
    <row r="294" spans="1:3">
      <c r="A294"/>
      <c r="B294"/>
      <c r="C294"/>
    </row>
    <row r="295" spans="1:3">
      <c r="A295"/>
      <c r="B295"/>
      <c r="C295"/>
    </row>
    <row r="296" spans="1:3">
      <c r="A296"/>
      <c r="B296"/>
      <c r="C296"/>
    </row>
    <row r="297" spans="1:3">
      <c r="A297"/>
      <c r="B297"/>
      <c r="C297"/>
    </row>
    <row r="298" spans="1:3">
      <c r="A298"/>
      <c r="B298"/>
      <c r="C298"/>
    </row>
    <row r="299" spans="1:3">
      <c r="A299"/>
      <c r="B299"/>
      <c r="C299"/>
    </row>
    <row r="300" spans="1:3">
      <c r="A300"/>
      <c r="B300"/>
      <c r="C300"/>
    </row>
    <row r="301" spans="1:3">
      <c r="A301"/>
      <c r="B301"/>
      <c r="C301"/>
    </row>
    <row r="302" spans="1:3">
      <c r="A302"/>
      <c r="B302"/>
      <c r="C302"/>
    </row>
    <row r="303" spans="1:3">
      <c r="A303"/>
      <c r="B303"/>
      <c r="C303"/>
    </row>
    <row r="304" spans="1:3">
      <c r="A304"/>
      <c r="B304"/>
      <c r="C304"/>
    </row>
    <row r="305" spans="1:3">
      <c r="A305"/>
      <c r="B305"/>
      <c r="C305"/>
    </row>
    <row r="306" spans="1:3">
      <c r="A306"/>
      <c r="B306"/>
      <c r="C306"/>
    </row>
    <row r="307" spans="1:3">
      <c r="A307"/>
      <c r="B307"/>
      <c r="C307"/>
    </row>
    <row r="308" spans="1:3">
      <c r="A308"/>
      <c r="B308"/>
      <c r="C308"/>
    </row>
    <row r="309" spans="1:3">
      <c r="A309"/>
      <c r="B309"/>
      <c r="C309"/>
    </row>
    <row r="310" spans="1:3">
      <c r="A310"/>
      <c r="B310"/>
      <c r="C310"/>
    </row>
    <row r="311" spans="1:3">
      <c r="A311"/>
      <c r="B311"/>
      <c r="C311"/>
    </row>
    <row r="312" spans="1:3">
      <c r="A312"/>
      <c r="B312"/>
      <c r="C312"/>
    </row>
    <row r="313" spans="1:3">
      <c r="A313"/>
      <c r="B313"/>
      <c r="C313"/>
    </row>
    <row r="314" spans="1:3">
      <c r="A314"/>
      <c r="B314"/>
      <c r="C314"/>
    </row>
    <row r="315" spans="1:3">
      <c r="A315"/>
      <c r="B315"/>
      <c r="C315"/>
    </row>
    <row r="316" spans="1:3">
      <c r="A316"/>
      <c r="B316"/>
      <c r="C316"/>
    </row>
    <row r="317" spans="1:3">
      <c r="A317"/>
      <c r="B317"/>
      <c r="C317"/>
    </row>
    <row r="318" spans="1:3">
      <c r="A318"/>
      <c r="B318"/>
      <c r="C318"/>
    </row>
    <row r="319" spans="1:3">
      <c r="A319"/>
      <c r="B319"/>
      <c r="C319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3:C39"/>
  <sheetViews>
    <sheetView zoomScale="89" zoomScaleNormal="89" workbookViewId="0">
      <selection activeCell="F25" sqref="F25"/>
    </sheetView>
  </sheetViews>
  <sheetFormatPr defaultColWidth="8.83203125" defaultRowHeight="15"/>
  <cols>
    <col min="1" max="1" width="16.4140625" style="20" customWidth="1"/>
    <col min="2" max="2" width="11.33203125" style="20" customWidth="1"/>
    <col min="3" max="3" width="10.58203125" style="20" customWidth="1"/>
    <col min="4" max="16384" width="8.83203125" style="20"/>
  </cols>
  <sheetData>
    <row r="3" spans="1:3">
      <c r="A3" s="3" t="s">
        <v>79</v>
      </c>
      <c r="B3" s="3" t="s">
        <v>90</v>
      </c>
      <c r="C3" s="3" t="s">
        <v>91</v>
      </c>
    </row>
    <row r="4" spans="1:3">
      <c r="A4" s="21" t="s">
        <v>65</v>
      </c>
      <c r="B4" s="22">
        <v>7</v>
      </c>
      <c r="C4" s="22">
        <v>32</v>
      </c>
    </row>
    <row r="5" spans="1:3">
      <c r="A5" s="21" t="s">
        <v>52</v>
      </c>
      <c r="B5" s="22">
        <v>15.5</v>
      </c>
      <c r="C5" s="22">
        <v>30</v>
      </c>
    </row>
    <row r="6" spans="1:3">
      <c r="A6" s="21" t="s">
        <v>39</v>
      </c>
      <c r="B6" s="22">
        <v>2</v>
      </c>
      <c r="C6" s="22">
        <v>5</v>
      </c>
    </row>
    <row r="7" spans="1:3">
      <c r="A7" s="21" t="s">
        <v>40</v>
      </c>
      <c r="B7" s="22">
        <v>9</v>
      </c>
      <c r="C7" s="22">
        <v>20</v>
      </c>
    </row>
    <row r="8" spans="1:3">
      <c r="A8" s="21" t="s">
        <v>51</v>
      </c>
      <c r="B8" s="22">
        <v>31.5</v>
      </c>
      <c r="C8" s="22">
        <v>6</v>
      </c>
    </row>
    <row r="9" spans="1:3">
      <c r="A9" s="21" t="s">
        <v>66</v>
      </c>
      <c r="B9" s="22">
        <v>4.5</v>
      </c>
      <c r="C9" s="22">
        <v>19</v>
      </c>
    </row>
    <row r="10" spans="1:3">
      <c r="A10" s="21" t="s">
        <v>53</v>
      </c>
      <c r="B10" s="22">
        <v>28</v>
      </c>
      <c r="C10" s="22">
        <v>10</v>
      </c>
    </row>
    <row r="11" spans="1:3">
      <c r="A11" s="21" t="s">
        <v>67</v>
      </c>
      <c r="B11" s="22">
        <v>34</v>
      </c>
      <c r="C11" s="22">
        <v>1</v>
      </c>
    </row>
    <row r="12" spans="1:3">
      <c r="A12" s="21" t="s">
        <v>68</v>
      </c>
      <c r="B12" s="22">
        <v>35</v>
      </c>
      <c r="C12" s="22">
        <v>2</v>
      </c>
    </row>
    <row r="13" spans="1:3">
      <c r="A13" s="21" t="s">
        <v>54</v>
      </c>
      <c r="B13" s="22">
        <v>19</v>
      </c>
      <c r="C13" s="22">
        <v>31</v>
      </c>
    </row>
    <row r="14" spans="1:3">
      <c r="A14" s="21" t="s">
        <v>82</v>
      </c>
      <c r="B14" s="22">
        <v>31.5</v>
      </c>
      <c r="C14" s="22">
        <v>17</v>
      </c>
    </row>
    <row r="15" spans="1:3">
      <c r="A15" s="21" t="s">
        <v>83</v>
      </c>
      <c r="B15" s="22">
        <v>11</v>
      </c>
      <c r="C15" s="22">
        <v>16</v>
      </c>
    </row>
    <row r="16" spans="1:3">
      <c r="A16" s="21" t="s">
        <v>84</v>
      </c>
      <c r="B16" s="22">
        <v>27</v>
      </c>
      <c r="C16" s="22">
        <v>29.5</v>
      </c>
    </row>
    <row r="17" spans="1:3">
      <c r="A17" s="21" t="s">
        <v>85</v>
      </c>
      <c r="B17" s="22">
        <v>33</v>
      </c>
      <c r="C17" s="22">
        <v>8</v>
      </c>
    </row>
    <row r="18" spans="1:3">
      <c r="A18" s="21" t="s">
        <v>86</v>
      </c>
      <c r="B18" s="22">
        <v>25</v>
      </c>
      <c r="C18" s="22">
        <v>11</v>
      </c>
    </row>
    <row r="19" spans="1:3">
      <c r="A19" s="21" t="s">
        <v>55</v>
      </c>
      <c r="B19" s="22">
        <v>21</v>
      </c>
      <c r="C19" s="22">
        <v>23.5</v>
      </c>
    </row>
    <row r="20" spans="1:3">
      <c r="A20" s="21" t="s">
        <v>56</v>
      </c>
      <c r="B20" s="22">
        <v>8</v>
      </c>
      <c r="C20" s="22">
        <v>34</v>
      </c>
    </row>
    <row r="21" spans="1:3">
      <c r="A21" s="21" t="s">
        <v>69</v>
      </c>
      <c r="B21" s="22">
        <v>32</v>
      </c>
      <c r="C21" s="22">
        <v>33</v>
      </c>
    </row>
    <row r="22" spans="1:3">
      <c r="A22" s="21" t="s">
        <v>75</v>
      </c>
      <c r="B22" s="22">
        <v>19</v>
      </c>
      <c r="C22" s="22">
        <v>14</v>
      </c>
    </row>
    <row r="23" spans="1:3">
      <c r="A23" s="21" t="s">
        <v>76</v>
      </c>
      <c r="B23" s="22">
        <v>25</v>
      </c>
      <c r="C23" s="22">
        <v>21</v>
      </c>
    </row>
    <row r="24" spans="1:3">
      <c r="A24" s="21" t="s">
        <v>41</v>
      </c>
      <c r="B24" s="22">
        <v>25</v>
      </c>
      <c r="C24" s="22">
        <v>7</v>
      </c>
    </row>
    <row r="25" spans="1:3">
      <c r="A25" s="21" t="s">
        <v>42</v>
      </c>
      <c r="B25" s="22">
        <v>12</v>
      </c>
      <c r="C25" s="22">
        <v>4</v>
      </c>
    </row>
    <row r="26" spans="1:3">
      <c r="A26" s="21" t="s">
        <v>43</v>
      </c>
      <c r="B26" s="22">
        <v>4.5</v>
      </c>
      <c r="C26" s="22">
        <v>9</v>
      </c>
    </row>
    <row r="27" spans="1:3">
      <c r="A27" s="21" t="s">
        <v>44</v>
      </c>
      <c r="B27" s="22">
        <v>6</v>
      </c>
      <c r="C27" s="22">
        <v>35</v>
      </c>
    </row>
    <row r="28" spans="1:3">
      <c r="A28" s="21" t="s">
        <v>70</v>
      </c>
      <c r="B28" s="22">
        <v>1</v>
      </c>
      <c r="C28" s="22">
        <v>13</v>
      </c>
    </row>
    <row r="29" spans="1:3">
      <c r="A29" s="21" t="s">
        <v>57</v>
      </c>
      <c r="B29" s="22">
        <v>25</v>
      </c>
      <c r="C29" s="22">
        <v>25</v>
      </c>
    </row>
    <row r="30" spans="1:3">
      <c r="A30" s="21" t="s">
        <v>58</v>
      </c>
      <c r="B30" s="22">
        <v>5</v>
      </c>
      <c r="C30" s="22">
        <v>3</v>
      </c>
    </row>
    <row r="31" spans="1:3">
      <c r="A31" s="21" t="s">
        <v>87</v>
      </c>
      <c r="B31" s="22">
        <v>10</v>
      </c>
      <c r="C31" s="22">
        <v>26</v>
      </c>
    </row>
    <row r="32" spans="1:3">
      <c r="A32" s="21" t="s">
        <v>88</v>
      </c>
      <c r="B32" s="22">
        <v>25</v>
      </c>
      <c r="C32" s="22">
        <v>12</v>
      </c>
    </row>
    <row r="33" spans="1:3">
      <c r="A33" s="21" t="s">
        <v>45</v>
      </c>
      <c r="B33" s="22">
        <v>15.5</v>
      </c>
      <c r="C33" s="22">
        <v>29.5</v>
      </c>
    </row>
    <row r="34" spans="1:3">
      <c r="A34" s="21" t="s">
        <v>59</v>
      </c>
      <c r="B34" s="22">
        <v>20</v>
      </c>
      <c r="C34" s="22">
        <v>23.5</v>
      </c>
    </row>
    <row r="35" spans="1:3">
      <c r="A35" s="21" t="s">
        <v>46</v>
      </c>
      <c r="B35" s="22">
        <v>19</v>
      </c>
      <c r="C35" s="22">
        <v>24</v>
      </c>
    </row>
    <row r="36" spans="1:3">
      <c r="A36" s="21" t="s">
        <v>77</v>
      </c>
      <c r="B36" s="22">
        <v>16</v>
      </c>
      <c r="C36" s="22">
        <v>15</v>
      </c>
    </row>
    <row r="37" spans="1:3">
      <c r="A37" s="21" t="s">
        <v>89</v>
      </c>
      <c r="B37" s="22">
        <v>29</v>
      </c>
      <c r="C37" s="22">
        <v>18</v>
      </c>
    </row>
    <row r="38" spans="1:3">
      <c r="A38" s="21" t="s">
        <v>78</v>
      </c>
      <c r="B38" s="22">
        <v>13</v>
      </c>
      <c r="C38" s="22">
        <v>27</v>
      </c>
    </row>
    <row r="39" spans="1:3">
      <c r="A39" s="23" t="s">
        <v>47</v>
      </c>
      <c r="B39" s="24">
        <v>644</v>
      </c>
      <c r="C39" s="24">
        <v>634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3:C11"/>
  <sheetViews>
    <sheetView workbookViewId="0"/>
  </sheetViews>
  <sheetFormatPr defaultColWidth="9" defaultRowHeight="15"/>
  <cols>
    <col min="1" max="1" width="19" bestFit="1" customWidth="1"/>
    <col min="2" max="3" width="18.6640625" bestFit="1" customWidth="1"/>
    <col min="4" max="5" width="23.75" bestFit="1" customWidth="1"/>
    <col min="6" max="6" width="25.4140625"/>
    <col min="7" max="7" width="27.58203125"/>
    <col min="8" max="8" width="5.75"/>
    <col min="9" max="9" width="5.83203125"/>
    <col min="10" max="10" width="19.9140625"/>
    <col min="11" max="11" width="8.5"/>
    <col min="12" max="12" width="5.75"/>
    <col min="13" max="13" width="6.4140625"/>
    <col min="14" max="14" width="11"/>
    <col min="15" max="15" width="6.5"/>
    <col min="16" max="16" width="5.75"/>
    <col min="17" max="17" width="5.83203125"/>
    <col min="18" max="19" width="25.4140625"/>
  </cols>
  <sheetData>
    <row r="3" spans="1:3">
      <c r="A3" s="53" t="s">
        <v>33</v>
      </c>
      <c r="B3" t="s">
        <v>92</v>
      </c>
      <c r="C3" t="s">
        <v>93</v>
      </c>
    </row>
    <row r="4" spans="1:3">
      <c r="A4" s="16" t="s">
        <v>94</v>
      </c>
      <c r="B4" s="15">
        <v>5510</v>
      </c>
      <c r="C4" s="15">
        <v>5457</v>
      </c>
    </row>
    <row r="5" spans="1:3">
      <c r="A5" s="56" t="s">
        <v>83</v>
      </c>
      <c r="B5" s="15">
        <v>879</v>
      </c>
      <c r="C5" s="15">
        <v>861</v>
      </c>
    </row>
    <row r="6" spans="1:3">
      <c r="A6" s="56" t="s">
        <v>84</v>
      </c>
      <c r="B6" s="15">
        <v>972</v>
      </c>
      <c r="C6" s="15">
        <v>968</v>
      </c>
    </row>
    <row r="7" spans="1:3">
      <c r="A7" s="56" t="s">
        <v>85</v>
      </c>
      <c r="B7" s="15">
        <v>889</v>
      </c>
      <c r="C7" s="15">
        <v>892</v>
      </c>
    </row>
    <row r="8" spans="1:3">
      <c r="A8" s="56" t="s">
        <v>87</v>
      </c>
      <c r="B8" s="15">
        <v>895</v>
      </c>
      <c r="C8" s="15">
        <v>876</v>
      </c>
    </row>
    <row r="9" spans="1:3">
      <c r="A9" s="56" t="s">
        <v>77</v>
      </c>
      <c r="B9" s="15">
        <v>912</v>
      </c>
      <c r="C9" s="15">
        <v>898</v>
      </c>
    </row>
    <row r="10" spans="1:3">
      <c r="A10" s="56" t="s">
        <v>89</v>
      </c>
      <c r="B10" s="15">
        <v>963</v>
      </c>
      <c r="C10" s="15">
        <v>962</v>
      </c>
    </row>
    <row r="11" spans="1:3">
      <c r="A11" s="16" t="s">
        <v>47</v>
      </c>
      <c r="B11" s="15">
        <v>5510</v>
      </c>
      <c r="C11" s="15">
        <v>5457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3:C9"/>
  <sheetViews>
    <sheetView workbookViewId="0">
      <selection activeCell="J14" sqref="J14"/>
    </sheetView>
  </sheetViews>
  <sheetFormatPr defaultColWidth="9" defaultRowHeight="15"/>
  <cols>
    <col min="1" max="1" width="12.75" customWidth="1"/>
    <col min="2" max="2" width="18.6640625" customWidth="1"/>
    <col min="3" max="3" width="18.6640625" bestFit="1" customWidth="1"/>
  </cols>
  <sheetData>
    <row r="3" spans="1:3">
      <c r="A3" s="53" t="s">
        <v>33</v>
      </c>
      <c r="B3" t="s">
        <v>93</v>
      </c>
      <c r="C3" t="s">
        <v>92</v>
      </c>
    </row>
    <row r="4" spans="1:3">
      <c r="A4" s="16" t="s">
        <v>65</v>
      </c>
      <c r="B4" s="15">
        <v>846</v>
      </c>
      <c r="C4" s="15">
        <v>876</v>
      </c>
    </row>
    <row r="5" spans="1:3">
      <c r="A5" s="16" t="s">
        <v>66</v>
      </c>
      <c r="B5" s="15">
        <v>777</v>
      </c>
      <c r="C5" s="15">
        <v>818</v>
      </c>
    </row>
    <row r="6" spans="1:3">
      <c r="A6" s="16" t="s">
        <v>67</v>
      </c>
      <c r="B6" s="15">
        <v>812</v>
      </c>
      <c r="C6" s="15">
        <v>774</v>
      </c>
    </row>
    <row r="7" spans="1:3">
      <c r="A7" s="16" t="s">
        <v>68</v>
      </c>
      <c r="B7" s="15">
        <v>710</v>
      </c>
      <c r="C7" s="15">
        <v>618</v>
      </c>
    </row>
    <row r="8" spans="1:3">
      <c r="A8" s="16" t="s">
        <v>70</v>
      </c>
      <c r="B8" s="15">
        <v>821</v>
      </c>
      <c r="C8" s="15">
        <v>868</v>
      </c>
    </row>
    <row r="9" spans="1:3">
      <c r="A9" s="16" t="s">
        <v>47</v>
      </c>
      <c r="B9" s="15">
        <v>3966</v>
      </c>
      <c r="C9" s="15">
        <v>3954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6A772-9580-4436-9E06-448D25307FC3}">
  <dimension ref="A2:C40"/>
  <sheetViews>
    <sheetView workbookViewId="0">
      <selection activeCell="E4" sqref="E4"/>
    </sheetView>
  </sheetViews>
  <sheetFormatPr defaultRowHeight="15"/>
  <cols>
    <col min="1" max="1" width="16.4140625" bestFit="1" customWidth="1"/>
    <col min="2" max="3" width="39.08203125" bestFit="1" customWidth="1"/>
  </cols>
  <sheetData>
    <row r="2" spans="1:3" ht="16.2" customHeight="1"/>
    <row r="3" spans="1:3" ht="24" customHeight="1">
      <c r="A3" s="53" t="s">
        <v>33</v>
      </c>
      <c r="B3" t="s">
        <v>136</v>
      </c>
      <c r="C3" t="s">
        <v>137</v>
      </c>
    </row>
    <row r="4" spans="1:3">
      <c r="A4" s="16" t="s">
        <v>65</v>
      </c>
      <c r="B4" s="15">
        <v>1.0564417177914109</v>
      </c>
      <c r="C4" s="15">
        <v>1.0034324942791761</v>
      </c>
    </row>
    <row r="5" spans="1:3">
      <c r="A5" s="16" t="s">
        <v>52</v>
      </c>
      <c r="B5" s="15">
        <v>1.0186528497409326</v>
      </c>
      <c r="C5" s="15">
        <v>1.0091185410334347</v>
      </c>
    </row>
    <row r="6" spans="1:3">
      <c r="A6" s="16" t="s">
        <v>39</v>
      </c>
      <c r="B6" s="15">
        <v>1.115995115995116</v>
      </c>
      <c r="C6" s="15">
        <v>1.0707865168539326</v>
      </c>
    </row>
    <row r="7" spans="1:3">
      <c r="A7" s="16" t="s">
        <v>40</v>
      </c>
      <c r="B7" s="15">
        <v>1.0825688073394495</v>
      </c>
      <c r="C7" s="15">
        <v>1.014799154334038</v>
      </c>
    </row>
    <row r="8" spans="1:3">
      <c r="A8" s="16" t="s">
        <v>51</v>
      </c>
      <c r="B8" s="15">
        <v>1.066820276497696</v>
      </c>
      <c r="C8" s="15">
        <v>1.029050279329609</v>
      </c>
    </row>
    <row r="9" spans="1:3">
      <c r="A9" s="16" t="s">
        <v>66</v>
      </c>
      <c r="B9" s="15">
        <v>0.78015075376884424</v>
      </c>
      <c r="C9" s="15">
        <v>0.83941605839416056</v>
      </c>
    </row>
    <row r="10" spans="1:3">
      <c r="A10" s="16" t="s">
        <v>53</v>
      </c>
      <c r="B10" s="15">
        <v>1.0772532188841202</v>
      </c>
      <c r="C10" s="15">
        <v>1.0470711297071129</v>
      </c>
    </row>
    <row r="11" spans="1:3">
      <c r="A11" s="16" t="s">
        <v>67</v>
      </c>
      <c r="B11" s="15">
        <v>1.2329956584659914</v>
      </c>
      <c r="C11" s="15">
        <v>1.2653958944281525</v>
      </c>
    </row>
    <row r="12" spans="1:3">
      <c r="A12" s="16" t="s">
        <v>68</v>
      </c>
      <c r="B12" s="15">
        <v>0.59552845528455289</v>
      </c>
      <c r="C12" s="15">
        <v>1.5680580762250453</v>
      </c>
    </row>
    <row r="13" spans="1:3">
      <c r="A13" s="16" t="s">
        <v>54</v>
      </c>
      <c r="B13" s="15">
        <v>1.0578158458244111</v>
      </c>
      <c r="C13" s="15">
        <v>1.0491631799163179</v>
      </c>
    </row>
    <row r="14" spans="1:3">
      <c r="A14" s="16" t="s">
        <v>82</v>
      </c>
      <c r="B14" s="15">
        <v>1.0738636363636365</v>
      </c>
      <c r="C14" s="15">
        <v>1.0784090909090909</v>
      </c>
    </row>
    <row r="15" spans="1:3">
      <c r="A15" s="16" t="s">
        <v>83</v>
      </c>
      <c r="B15" s="15">
        <v>1.0224321133412042</v>
      </c>
      <c r="C15" s="15">
        <v>1.0103092783505154</v>
      </c>
    </row>
    <row r="16" spans="1:3">
      <c r="A16" s="16" t="s">
        <v>84</v>
      </c>
      <c r="B16" s="15">
        <v>1.2440251572327043</v>
      </c>
      <c r="C16" s="15">
        <v>1.1559202813599063</v>
      </c>
    </row>
    <row r="17" spans="1:3">
      <c r="A17" s="16" t="s">
        <v>85</v>
      </c>
      <c r="B17" s="15">
        <v>1.1196581196581197</v>
      </c>
      <c r="C17" s="15">
        <v>1.0809523809523809</v>
      </c>
    </row>
    <row r="18" spans="1:3">
      <c r="A18" s="16" t="s">
        <v>86</v>
      </c>
      <c r="B18" s="15">
        <v>1.1057471264367815</v>
      </c>
      <c r="C18" s="15">
        <v>1.0560439560439561</v>
      </c>
    </row>
    <row r="19" spans="1:3">
      <c r="A19" s="16" t="s">
        <v>55</v>
      </c>
      <c r="B19" s="15">
        <v>1.0371549893842889</v>
      </c>
      <c r="C19" s="15">
        <v>1.0166147455867083</v>
      </c>
    </row>
    <row r="20" spans="1:3">
      <c r="A20" s="16" t="s">
        <v>56</v>
      </c>
      <c r="B20" s="15">
        <v>1.0009451795841209</v>
      </c>
      <c r="C20" s="15">
        <v>0.98808432630614118</v>
      </c>
    </row>
    <row r="21" spans="1:3">
      <c r="A21" s="16" t="s">
        <v>69</v>
      </c>
      <c r="B21" s="15">
        <v>1.0256684491978609</v>
      </c>
      <c r="C21" s="15">
        <v>1.0074074074074073</v>
      </c>
    </row>
    <row r="22" spans="1:3">
      <c r="A22" s="16" t="s">
        <v>75</v>
      </c>
      <c r="B22" s="15">
        <v>1.0322939866369711</v>
      </c>
      <c r="C22" s="15">
        <v>1.0196078431372548</v>
      </c>
    </row>
    <row r="23" spans="1:3">
      <c r="A23" s="16" t="s">
        <v>76</v>
      </c>
      <c r="B23" s="15">
        <v>1.0996563573883162</v>
      </c>
      <c r="C23" s="15">
        <v>1.054263565891473</v>
      </c>
    </row>
    <row r="24" spans="1:3">
      <c r="A24" s="16" t="s">
        <v>41</v>
      </c>
      <c r="B24" s="15">
        <v>0.95837462834489595</v>
      </c>
      <c r="C24" s="15">
        <v>0.94444444444444442</v>
      </c>
    </row>
    <row r="25" spans="1:3">
      <c r="A25" s="16" t="s">
        <v>42</v>
      </c>
      <c r="B25" s="15">
        <v>0.98676171079429731</v>
      </c>
      <c r="C25" s="15">
        <v>0.98501498501498497</v>
      </c>
    </row>
    <row r="26" spans="1:3">
      <c r="A26" s="16" t="s">
        <v>43</v>
      </c>
      <c r="B26" s="15">
        <v>0.97362869198312241</v>
      </c>
      <c r="C26" s="15">
        <v>0.95390781563126248</v>
      </c>
    </row>
    <row r="27" spans="1:3">
      <c r="A27" s="16" t="s">
        <v>44</v>
      </c>
      <c r="B27" s="15">
        <v>1.1049457177322075</v>
      </c>
      <c r="C27" s="15">
        <v>1.0352422907488987</v>
      </c>
    </row>
    <row r="28" spans="1:3">
      <c r="A28" s="16" t="s">
        <v>70</v>
      </c>
      <c r="B28" s="15">
        <v>0.98540145985401462</v>
      </c>
      <c r="C28" s="15">
        <v>0.98156682027649766</v>
      </c>
    </row>
    <row r="29" spans="1:3">
      <c r="A29" s="16" t="s">
        <v>57</v>
      </c>
      <c r="B29" s="15">
        <v>1.1027932960893854</v>
      </c>
      <c r="C29" s="15">
        <v>1.0611587982832618</v>
      </c>
    </row>
    <row r="30" spans="1:3">
      <c r="A30" s="16" t="s">
        <v>58</v>
      </c>
      <c r="B30" s="15">
        <v>0.98311817279046676</v>
      </c>
      <c r="C30" s="15">
        <v>0.98656429942418422</v>
      </c>
    </row>
    <row r="31" spans="1:3">
      <c r="A31" s="16" t="s">
        <v>87</v>
      </c>
      <c r="B31" s="15">
        <v>1.0482921083627796</v>
      </c>
      <c r="C31" s="15">
        <v>1.0365714285714285</v>
      </c>
    </row>
    <row r="32" spans="1:3">
      <c r="A32" s="16" t="s">
        <v>88</v>
      </c>
      <c r="B32" s="15">
        <v>1.0449438202247192</v>
      </c>
      <c r="C32" s="15">
        <v>1.0207877461706782</v>
      </c>
    </row>
    <row r="33" spans="1:3">
      <c r="A33" s="16" t="s">
        <v>45</v>
      </c>
      <c r="B33" s="15">
        <v>1.0602409638554218</v>
      </c>
      <c r="C33" s="15">
        <v>0.96604600219058046</v>
      </c>
    </row>
    <row r="34" spans="1:3">
      <c r="A34" s="16" t="s">
        <v>59</v>
      </c>
      <c r="B34" s="15">
        <v>1.0101832993890021</v>
      </c>
      <c r="C34" s="15">
        <v>0.99299999999999999</v>
      </c>
    </row>
    <row r="35" spans="1:3">
      <c r="A35" s="16" t="s">
        <v>46</v>
      </c>
      <c r="B35" s="15">
        <v>0.986444212721585</v>
      </c>
      <c r="C35" s="15">
        <v>0.98150051387461457</v>
      </c>
    </row>
    <row r="36" spans="1:3">
      <c r="A36" s="16" t="s">
        <v>77</v>
      </c>
      <c r="B36" s="15">
        <v>1.0319634703196348</v>
      </c>
      <c r="C36" s="15">
        <v>1.0268456375838926</v>
      </c>
    </row>
    <row r="37" spans="1:3">
      <c r="A37" s="16" t="s">
        <v>89</v>
      </c>
      <c r="B37" s="15">
        <v>1.1917159763313609</v>
      </c>
      <c r="C37" s="15">
        <v>1.1312217194570136</v>
      </c>
    </row>
    <row r="38" spans="1:3">
      <c r="A38" s="16" t="s">
        <v>78</v>
      </c>
      <c r="B38" s="15">
        <v>1.0638297872340425</v>
      </c>
      <c r="C38" s="15">
        <v>1.0095338983050848</v>
      </c>
    </row>
    <row r="39" spans="1:3">
      <c r="A39" s="16" t="s">
        <v>135</v>
      </c>
      <c r="B39" s="15"/>
      <c r="C39" s="15"/>
    </row>
    <row r="40" spans="1:3">
      <c r="A40" s="16" t="s">
        <v>47</v>
      </c>
      <c r="B40" s="15">
        <v>36.378305130843465</v>
      </c>
      <c r="C40" s="15">
        <v>36.477310600422634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R395"/>
  <sheetViews>
    <sheetView zoomScale="70" zoomScaleNormal="55" workbookViewId="0"/>
  </sheetViews>
  <sheetFormatPr defaultColWidth="9" defaultRowHeight="15"/>
  <cols>
    <col min="1" max="1" width="15.5" customWidth="1"/>
    <col min="2" max="2" width="10.33203125" customWidth="1"/>
    <col min="3" max="3" width="17.08203125" customWidth="1"/>
    <col min="4" max="4" width="14.83203125" customWidth="1"/>
    <col min="5" max="5" width="14.58203125" customWidth="1"/>
    <col min="6" max="6" width="14.08203125" customWidth="1"/>
    <col min="7" max="7" width="14.33203125" customWidth="1"/>
    <col min="8" max="8" width="14.9140625" customWidth="1"/>
    <col min="9" max="9" width="13.58203125" customWidth="1"/>
    <col min="11" max="12" width="34.5" customWidth="1"/>
    <col min="13" max="13" width="16.4140625" bestFit="1" customWidth="1"/>
  </cols>
  <sheetData>
    <row r="1" spans="1:44">
      <c r="A1" t="s">
        <v>60</v>
      </c>
      <c r="B1" t="s">
        <v>95</v>
      </c>
      <c r="C1" t="s">
        <v>79</v>
      </c>
      <c r="D1" t="s">
        <v>96</v>
      </c>
      <c r="E1" t="s">
        <v>97</v>
      </c>
      <c r="F1" t="s">
        <v>98</v>
      </c>
      <c r="G1" t="s">
        <v>99</v>
      </c>
      <c r="H1" t="s">
        <v>100</v>
      </c>
      <c r="I1" t="s">
        <v>101</v>
      </c>
      <c r="J1" s="2"/>
      <c r="K1" t="s">
        <v>133</v>
      </c>
      <c r="L1" t="s">
        <v>134</v>
      </c>
      <c r="M1" t="s">
        <v>79</v>
      </c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1:44" hidden="1">
      <c r="A2" t="s">
        <v>102</v>
      </c>
      <c r="B2" t="s">
        <v>102</v>
      </c>
      <c r="C2" t="s">
        <v>103</v>
      </c>
      <c r="D2">
        <v>933</v>
      </c>
      <c r="E2">
        <v>943</v>
      </c>
      <c r="F2">
        <v>946</v>
      </c>
      <c r="G2">
        <v>949</v>
      </c>
      <c r="H2">
        <v>900</v>
      </c>
      <c r="I2">
        <v>929</v>
      </c>
      <c r="J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</row>
    <row r="3" spans="1:44">
      <c r="A3" t="s">
        <v>104</v>
      </c>
      <c r="B3" t="s">
        <v>105</v>
      </c>
      <c r="C3" t="s">
        <v>52</v>
      </c>
      <c r="D3">
        <v>978</v>
      </c>
      <c r="E3">
        <v>993</v>
      </c>
      <c r="F3">
        <v>983</v>
      </c>
      <c r="G3">
        <v>996</v>
      </c>
      <c r="H3">
        <v>965</v>
      </c>
      <c r="I3">
        <v>987</v>
      </c>
      <c r="J3" s="2"/>
      <c r="K3">
        <f>SexRatio[[#This Row],[ Rural - 2001]]/SexRatio[[#This Row],[Urban - 2001]]</f>
        <v>1.0186528497409326</v>
      </c>
      <c r="L3">
        <f>SexRatio[[#This Row],[ Rural - 2011]]/SexRatio[[#This Row],[Urban - 2011]]</f>
        <v>1.0091185410334347</v>
      </c>
      <c r="M3" t="s">
        <v>52</v>
      </c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</row>
    <row r="4" spans="1:44">
      <c r="A4" t="s">
        <v>104</v>
      </c>
      <c r="B4" t="s">
        <v>38</v>
      </c>
      <c r="C4" t="s">
        <v>39</v>
      </c>
      <c r="D4">
        <v>893</v>
      </c>
      <c r="E4">
        <v>938</v>
      </c>
      <c r="F4">
        <v>914</v>
      </c>
      <c r="G4">
        <v>953</v>
      </c>
      <c r="H4">
        <v>819</v>
      </c>
      <c r="I4">
        <v>890</v>
      </c>
      <c r="J4" s="2"/>
      <c r="K4">
        <f>SexRatio[[#This Row],[ Rural - 2001]]/SexRatio[[#This Row],[Urban - 2001]]</f>
        <v>1.115995115995116</v>
      </c>
      <c r="L4">
        <f>SexRatio[[#This Row],[ Rural - 2011]]/SexRatio[[#This Row],[Urban - 2011]]</f>
        <v>1.0707865168539326</v>
      </c>
      <c r="M4" t="s">
        <v>39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</row>
    <row r="5" spans="1:44">
      <c r="A5" t="s">
        <v>104</v>
      </c>
      <c r="B5" t="s">
        <v>38</v>
      </c>
      <c r="C5" t="s">
        <v>40</v>
      </c>
      <c r="D5">
        <v>935</v>
      </c>
      <c r="E5">
        <v>958</v>
      </c>
      <c r="F5">
        <v>944</v>
      </c>
      <c r="G5">
        <v>960</v>
      </c>
      <c r="H5">
        <v>872</v>
      </c>
      <c r="I5">
        <v>946</v>
      </c>
      <c r="J5" s="2"/>
      <c r="K5">
        <f>SexRatio[[#This Row],[ Rural - 2001]]/SexRatio[[#This Row],[Urban - 2001]]</f>
        <v>1.0825688073394495</v>
      </c>
      <c r="L5">
        <f>SexRatio[[#This Row],[ Rural - 2011]]/SexRatio[[#This Row],[Urban - 2011]]</f>
        <v>1.014799154334038</v>
      </c>
      <c r="M5" t="s">
        <v>40</v>
      </c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</row>
    <row r="6" spans="1:44">
      <c r="A6" t="s">
        <v>104</v>
      </c>
      <c r="B6" t="s">
        <v>106</v>
      </c>
      <c r="C6" t="s">
        <v>51</v>
      </c>
      <c r="D6">
        <v>919</v>
      </c>
      <c r="E6">
        <v>918</v>
      </c>
      <c r="F6">
        <v>926</v>
      </c>
      <c r="G6">
        <v>921</v>
      </c>
      <c r="H6">
        <v>868</v>
      </c>
      <c r="I6">
        <v>895</v>
      </c>
      <c r="J6" s="2"/>
      <c r="K6">
        <f>SexRatio[[#This Row],[ Rural - 2001]]/SexRatio[[#This Row],[Urban - 2001]]</f>
        <v>1.066820276497696</v>
      </c>
      <c r="L6">
        <f>SexRatio[[#This Row],[ Rural - 2011]]/SexRatio[[#This Row],[Urban - 2011]]</f>
        <v>1.029050279329609</v>
      </c>
      <c r="M6" t="s">
        <v>51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</row>
    <row r="7" spans="1:44">
      <c r="A7" t="s">
        <v>104</v>
      </c>
      <c r="B7" t="s">
        <v>107</v>
      </c>
      <c r="C7" t="s">
        <v>53</v>
      </c>
      <c r="D7">
        <v>989</v>
      </c>
      <c r="E7">
        <v>991</v>
      </c>
      <c r="F7">
        <v>1004</v>
      </c>
      <c r="G7">
        <v>1001</v>
      </c>
      <c r="H7">
        <v>932</v>
      </c>
      <c r="I7">
        <v>956</v>
      </c>
      <c r="J7" s="2"/>
      <c r="K7">
        <f>SexRatio[[#This Row],[ Rural - 2001]]/SexRatio[[#This Row],[Urban - 2001]]</f>
        <v>1.0772532188841202</v>
      </c>
      <c r="L7">
        <f>SexRatio[[#This Row],[ Rural - 2011]]/SexRatio[[#This Row],[Urban - 2011]]</f>
        <v>1.0470711297071129</v>
      </c>
      <c r="M7" t="s">
        <v>53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</row>
    <row r="8" spans="1:44">
      <c r="A8" t="s">
        <v>104</v>
      </c>
      <c r="B8" t="s">
        <v>108</v>
      </c>
      <c r="C8" t="s">
        <v>54</v>
      </c>
      <c r="D8">
        <v>961</v>
      </c>
      <c r="E8">
        <v>973</v>
      </c>
      <c r="F8">
        <v>988</v>
      </c>
      <c r="G8">
        <v>1003</v>
      </c>
      <c r="H8">
        <v>934</v>
      </c>
      <c r="I8">
        <v>956</v>
      </c>
      <c r="J8" s="2"/>
      <c r="K8">
        <f>SexRatio[[#This Row],[ Rural - 2001]]/SexRatio[[#This Row],[Urban - 2001]]</f>
        <v>1.0578158458244111</v>
      </c>
      <c r="L8">
        <f>SexRatio[[#This Row],[ Rural - 2011]]/SexRatio[[#This Row],[Urban - 2011]]</f>
        <v>1.0491631799163179</v>
      </c>
      <c r="M8" t="s">
        <v>54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</row>
    <row r="9" spans="1:44">
      <c r="A9" t="s">
        <v>104</v>
      </c>
      <c r="B9" t="s">
        <v>108</v>
      </c>
      <c r="C9" t="s">
        <v>82</v>
      </c>
      <c r="D9">
        <v>920</v>
      </c>
      <c r="E9">
        <v>919</v>
      </c>
      <c r="F9">
        <v>945</v>
      </c>
      <c r="G9">
        <v>949</v>
      </c>
      <c r="H9">
        <v>880</v>
      </c>
      <c r="I9">
        <v>880</v>
      </c>
      <c r="J9" s="2"/>
      <c r="K9">
        <f>SexRatio[[#This Row],[ Rural - 2001]]/SexRatio[[#This Row],[Urban - 2001]]</f>
        <v>1.0738636363636365</v>
      </c>
      <c r="L9">
        <f>SexRatio[[#This Row],[ Rural - 2011]]/SexRatio[[#This Row],[Urban - 2011]]</f>
        <v>1.0784090909090909</v>
      </c>
      <c r="M9" t="s">
        <v>82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</row>
    <row r="10" spans="1:44">
      <c r="A10" t="s">
        <v>104</v>
      </c>
      <c r="B10" t="s">
        <v>94</v>
      </c>
      <c r="C10" t="s">
        <v>83</v>
      </c>
      <c r="D10">
        <v>861</v>
      </c>
      <c r="E10">
        <v>879</v>
      </c>
      <c r="F10">
        <v>866</v>
      </c>
      <c r="G10">
        <v>882</v>
      </c>
      <c r="H10">
        <v>847</v>
      </c>
      <c r="I10">
        <v>873</v>
      </c>
      <c r="J10" s="2"/>
      <c r="K10">
        <f>SexRatio[[#This Row],[ Rural - 2001]]/SexRatio[[#This Row],[Urban - 2001]]</f>
        <v>1.0224321133412042</v>
      </c>
      <c r="L10">
        <f>SexRatio[[#This Row],[ Rural - 2011]]/SexRatio[[#This Row],[Urban - 2011]]</f>
        <v>1.0103092783505154</v>
      </c>
      <c r="M10" t="s">
        <v>83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</row>
    <row r="11" spans="1:44">
      <c r="A11" t="s">
        <v>104</v>
      </c>
      <c r="B11" t="s">
        <v>94</v>
      </c>
      <c r="C11" t="s">
        <v>84</v>
      </c>
      <c r="D11">
        <v>968</v>
      </c>
      <c r="E11">
        <v>972</v>
      </c>
      <c r="F11">
        <v>989</v>
      </c>
      <c r="G11">
        <v>986</v>
      </c>
      <c r="H11">
        <v>795</v>
      </c>
      <c r="I11">
        <v>853</v>
      </c>
      <c r="J11" s="2"/>
      <c r="K11">
        <f>SexRatio[[#This Row],[ Rural - 2001]]/SexRatio[[#This Row],[Urban - 2001]]</f>
        <v>1.2440251572327043</v>
      </c>
      <c r="L11">
        <f>SexRatio[[#This Row],[ Rural - 2011]]/SexRatio[[#This Row],[Urban - 2011]]</f>
        <v>1.1559202813599063</v>
      </c>
      <c r="M11" t="s">
        <v>84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</row>
    <row r="12" spans="1:44">
      <c r="A12" t="s">
        <v>104</v>
      </c>
      <c r="B12" t="s">
        <v>94</v>
      </c>
      <c r="C12" t="s">
        <v>85</v>
      </c>
      <c r="D12">
        <v>892</v>
      </c>
      <c r="E12">
        <v>889</v>
      </c>
      <c r="F12">
        <v>917</v>
      </c>
      <c r="G12">
        <v>908</v>
      </c>
      <c r="H12">
        <v>819</v>
      </c>
      <c r="I12">
        <v>840</v>
      </c>
      <c r="J12" s="2"/>
      <c r="K12">
        <f>SexRatio[[#This Row],[ Rural - 2001]]/SexRatio[[#This Row],[Urban - 2001]]</f>
        <v>1.1196581196581197</v>
      </c>
      <c r="L12">
        <f>SexRatio[[#This Row],[ Rural - 2011]]/SexRatio[[#This Row],[Urban - 2011]]</f>
        <v>1.0809523809523809</v>
      </c>
      <c r="M12" t="s">
        <v>85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</row>
    <row r="13" spans="1:44">
      <c r="A13" t="s">
        <v>104</v>
      </c>
      <c r="B13" t="s">
        <v>106</v>
      </c>
      <c r="C13" t="s">
        <v>86</v>
      </c>
      <c r="D13">
        <v>941</v>
      </c>
      <c r="E13">
        <v>948</v>
      </c>
      <c r="F13">
        <v>962</v>
      </c>
      <c r="G13">
        <v>961</v>
      </c>
      <c r="H13">
        <v>870</v>
      </c>
      <c r="I13">
        <v>910</v>
      </c>
      <c r="J13" s="2"/>
      <c r="K13">
        <f>SexRatio[[#This Row],[ Rural - 2001]]/SexRatio[[#This Row],[Urban - 2001]]</f>
        <v>1.1057471264367815</v>
      </c>
      <c r="L13">
        <f>SexRatio[[#This Row],[ Rural - 2011]]/SexRatio[[#This Row],[Urban - 2011]]</f>
        <v>1.0560439560439561</v>
      </c>
      <c r="M13" t="s">
        <v>86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</row>
    <row r="14" spans="1:44">
      <c r="A14" t="s">
        <v>104</v>
      </c>
      <c r="B14" t="s">
        <v>105</v>
      </c>
      <c r="C14" t="s">
        <v>55</v>
      </c>
      <c r="D14">
        <v>965</v>
      </c>
      <c r="E14">
        <v>973</v>
      </c>
      <c r="F14">
        <v>977</v>
      </c>
      <c r="G14">
        <v>979</v>
      </c>
      <c r="H14">
        <v>942</v>
      </c>
      <c r="I14">
        <v>963</v>
      </c>
      <c r="J14" s="2"/>
      <c r="K14">
        <f>SexRatio[[#This Row],[ Rural - 2001]]/SexRatio[[#This Row],[Urban - 2001]]</f>
        <v>1.0371549893842889</v>
      </c>
      <c r="L14">
        <f>SexRatio[[#This Row],[ Rural - 2011]]/SexRatio[[#This Row],[Urban - 2011]]</f>
        <v>1.0166147455867083</v>
      </c>
      <c r="M14" t="s">
        <v>55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</row>
    <row r="15" spans="1:44">
      <c r="A15" t="s">
        <v>104</v>
      </c>
      <c r="B15" t="s">
        <v>105</v>
      </c>
      <c r="C15" t="s">
        <v>56</v>
      </c>
      <c r="D15">
        <v>1058</v>
      </c>
      <c r="E15">
        <v>1084</v>
      </c>
      <c r="F15">
        <v>1059</v>
      </c>
      <c r="G15">
        <v>1078</v>
      </c>
      <c r="H15">
        <v>1058</v>
      </c>
      <c r="I15">
        <v>1091</v>
      </c>
      <c r="J15" s="2"/>
      <c r="K15">
        <f>SexRatio[[#This Row],[ Rural - 2001]]/SexRatio[[#This Row],[Urban - 2001]]</f>
        <v>1.0009451795841209</v>
      </c>
      <c r="L15">
        <f>SexRatio[[#This Row],[ Rural - 2011]]/SexRatio[[#This Row],[Urban - 2011]]</f>
        <v>0.98808432630614118</v>
      </c>
      <c r="M15" t="s">
        <v>56</v>
      </c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</row>
    <row r="16" spans="1:44">
      <c r="A16" t="s">
        <v>104</v>
      </c>
      <c r="B16" t="s">
        <v>107</v>
      </c>
      <c r="C16" t="s">
        <v>75</v>
      </c>
      <c r="D16">
        <v>919</v>
      </c>
      <c r="E16">
        <v>931</v>
      </c>
      <c r="F16">
        <v>927</v>
      </c>
      <c r="G16">
        <v>936</v>
      </c>
      <c r="H16">
        <v>898</v>
      </c>
      <c r="I16">
        <v>918</v>
      </c>
      <c r="J16" s="2"/>
      <c r="K16">
        <f>SexRatio[[#This Row],[ Rural - 2001]]/SexRatio[[#This Row],[Urban - 2001]]</f>
        <v>1.0322939866369711</v>
      </c>
      <c r="L16">
        <f>SexRatio[[#This Row],[ Rural - 2011]]/SexRatio[[#This Row],[Urban - 2011]]</f>
        <v>1.0196078431372548</v>
      </c>
      <c r="M16" t="s">
        <v>75</v>
      </c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</row>
    <row r="17" spans="1:44">
      <c r="A17" t="s">
        <v>104</v>
      </c>
      <c r="B17" t="s">
        <v>108</v>
      </c>
      <c r="C17" t="s">
        <v>76</v>
      </c>
      <c r="D17">
        <v>922</v>
      </c>
      <c r="E17">
        <v>929</v>
      </c>
      <c r="F17">
        <v>960</v>
      </c>
      <c r="G17">
        <v>952</v>
      </c>
      <c r="H17">
        <v>873</v>
      </c>
      <c r="I17">
        <v>903</v>
      </c>
      <c r="J17" s="2"/>
      <c r="K17">
        <f>SexRatio[[#This Row],[ Rural - 2001]]/SexRatio[[#This Row],[Urban - 2001]]</f>
        <v>1.0996563573883162</v>
      </c>
      <c r="L17">
        <f>SexRatio[[#This Row],[ Rural - 2011]]/SexRatio[[#This Row],[Urban - 2011]]</f>
        <v>1.054263565891473</v>
      </c>
      <c r="M17" t="s">
        <v>76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</row>
    <row r="18" spans="1:44">
      <c r="A18" t="s">
        <v>104</v>
      </c>
      <c r="B18" t="s">
        <v>38</v>
      </c>
      <c r="C18" t="s">
        <v>41</v>
      </c>
      <c r="D18">
        <v>978</v>
      </c>
      <c r="E18">
        <v>985</v>
      </c>
      <c r="F18">
        <v>967</v>
      </c>
      <c r="G18">
        <v>969</v>
      </c>
      <c r="H18">
        <v>1009</v>
      </c>
      <c r="I18">
        <v>1026</v>
      </c>
      <c r="J18" s="2"/>
      <c r="K18">
        <f>SexRatio[[#This Row],[ Rural - 2001]]/SexRatio[[#This Row],[Urban - 2001]]</f>
        <v>0.95837462834489595</v>
      </c>
      <c r="L18">
        <f>SexRatio[[#This Row],[ Rural - 2011]]/SexRatio[[#This Row],[Urban - 2011]]</f>
        <v>0.94444444444444442</v>
      </c>
      <c r="M18" t="s">
        <v>41</v>
      </c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</row>
    <row r="19" spans="1:44">
      <c r="A19" t="s">
        <v>104</v>
      </c>
      <c r="B19" t="s">
        <v>38</v>
      </c>
      <c r="C19" t="s">
        <v>42</v>
      </c>
      <c r="D19">
        <v>972</v>
      </c>
      <c r="E19">
        <v>989</v>
      </c>
      <c r="F19">
        <v>969</v>
      </c>
      <c r="G19">
        <v>986</v>
      </c>
      <c r="H19">
        <v>982</v>
      </c>
      <c r="I19">
        <v>1001</v>
      </c>
      <c r="J19" s="2"/>
      <c r="K19">
        <f>SexRatio[[#This Row],[ Rural - 2001]]/SexRatio[[#This Row],[Urban - 2001]]</f>
        <v>0.98676171079429731</v>
      </c>
      <c r="L19">
        <f>SexRatio[[#This Row],[ Rural - 2011]]/SexRatio[[#This Row],[Urban - 2011]]</f>
        <v>0.98501498501498497</v>
      </c>
      <c r="M19" t="s">
        <v>42</v>
      </c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</row>
    <row r="20" spans="1:44">
      <c r="A20" t="s">
        <v>104</v>
      </c>
      <c r="B20" t="s">
        <v>38</v>
      </c>
      <c r="C20" t="s">
        <v>43</v>
      </c>
      <c r="D20">
        <v>935</v>
      </c>
      <c r="E20">
        <v>976</v>
      </c>
      <c r="F20">
        <v>923</v>
      </c>
      <c r="G20">
        <v>952</v>
      </c>
      <c r="H20">
        <v>948</v>
      </c>
      <c r="I20">
        <v>998</v>
      </c>
      <c r="J20" s="2"/>
      <c r="K20">
        <f>SexRatio[[#This Row],[ Rural - 2001]]/SexRatio[[#This Row],[Urban - 2001]]</f>
        <v>0.97362869198312241</v>
      </c>
      <c r="L20">
        <f>SexRatio[[#This Row],[ Rural - 2011]]/SexRatio[[#This Row],[Urban - 2011]]</f>
        <v>0.95390781563126248</v>
      </c>
      <c r="M20" t="s">
        <v>43</v>
      </c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</row>
    <row r="21" spans="1:44">
      <c r="A21" t="s">
        <v>104</v>
      </c>
      <c r="B21" t="s">
        <v>38</v>
      </c>
      <c r="C21" t="s">
        <v>44</v>
      </c>
      <c r="D21">
        <v>900</v>
      </c>
      <c r="E21">
        <v>931</v>
      </c>
      <c r="F21">
        <v>916</v>
      </c>
      <c r="G21">
        <v>940</v>
      </c>
      <c r="H21">
        <v>829</v>
      </c>
      <c r="I21">
        <v>908</v>
      </c>
      <c r="J21" s="2"/>
      <c r="K21">
        <f>SexRatio[[#This Row],[ Rural - 2001]]/SexRatio[[#This Row],[Urban - 2001]]</f>
        <v>1.1049457177322075</v>
      </c>
      <c r="L21">
        <f>SexRatio[[#This Row],[ Rural - 2011]]/SexRatio[[#This Row],[Urban - 2011]]</f>
        <v>1.0352422907488987</v>
      </c>
      <c r="M21" t="s">
        <v>44</v>
      </c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</row>
    <row r="22" spans="1:44">
      <c r="A22" t="s">
        <v>104</v>
      </c>
      <c r="B22" t="s">
        <v>106</v>
      </c>
      <c r="C22" t="s">
        <v>57</v>
      </c>
      <c r="D22">
        <v>972</v>
      </c>
      <c r="E22">
        <v>979</v>
      </c>
      <c r="F22">
        <v>987</v>
      </c>
      <c r="G22">
        <v>989</v>
      </c>
      <c r="H22">
        <v>895</v>
      </c>
      <c r="I22">
        <v>932</v>
      </c>
      <c r="J22" s="2"/>
      <c r="K22">
        <f>SexRatio[[#This Row],[ Rural - 2001]]/SexRatio[[#This Row],[Urban - 2001]]</f>
        <v>1.1027932960893854</v>
      </c>
      <c r="L22">
        <f>SexRatio[[#This Row],[ Rural - 2011]]/SexRatio[[#This Row],[Urban - 2011]]</f>
        <v>1.0611587982832618</v>
      </c>
      <c r="M22" t="s">
        <v>57</v>
      </c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</row>
    <row r="23" spans="1:44">
      <c r="A23" t="s">
        <v>104</v>
      </c>
      <c r="B23" t="s">
        <v>94</v>
      </c>
      <c r="C23" t="s">
        <v>87</v>
      </c>
      <c r="D23">
        <v>876</v>
      </c>
      <c r="E23">
        <v>895</v>
      </c>
      <c r="F23">
        <v>890</v>
      </c>
      <c r="G23">
        <v>907</v>
      </c>
      <c r="H23">
        <v>849</v>
      </c>
      <c r="I23">
        <v>875</v>
      </c>
      <c r="J23" s="2"/>
      <c r="K23">
        <f>SexRatio[[#This Row],[ Rural - 2001]]/SexRatio[[#This Row],[Urban - 2001]]</f>
        <v>1.0482921083627796</v>
      </c>
      <c r="L23">
        <f>SexRatio[[#This Row],[ Rural - 2011]]/SexRatio[[#This Row],[Urban - 2011]]</f>
        <v>1.0365714285714285</v>
      </c>
      <c r="M23" t="s">
        <v>87</v>
      </c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</row>
    <row r="24" spans="1:44">
      <c r="A24" t="s">
        <v>104</v>
      </c>
      <c r="B24" t="s">
        <v>108</v>
      </c>
      <c r="C24" t="s">
        <v>88</v>
      </c>
      <c r="D24">
        <v>921</v>
      </c>
      <c r="E24">
        <v>928</v>
      </c>
      <c r="F24">
        <v>930</v>
      </c>
      <c r="G24">
        <v>933</v>
      </c>
      <c r="H24">
        <v>890</v>
      </c>
      <c r="I24">
        <v>914</v>
      </c>
      <c r="J24" s="2"/>
      <c r="K24">
        <f>SexRatio[[#This Row],[ Rural - 2001]]/SexRatio[[#This Row],[Urban - 2001]]</f>
        <v>1.0449438202247192</v>
      </c>
      <c r="L24">
        <f>SexRatio[[#This Row],[ Rural - 2011]]/SexRatio[[#This Row],[Urban - 2011]]</f>
        <v>1.0207877461706782</v>
      </c>
      <c r="M24" t="s">
        <v>88</v>
      </c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</row>
    <row r="25" spans="1:44">
      <c r="A25" t="s">
        <v>104</v>
      </c>
      <c r="B25" t="s">
        <v>38</v>
      </c>
      <c r="C25" t="s">
        <v>45</v>
      </c>
      <c r="D25">
        <v>875</v>
      </c>
      <c r="E25">
        <v>890</v>
      </c>
      <c r="F25">
        <v>880</v>
      </c>
      <c r="G25">
        <v>882</v>
      </c>
      <c r="H25">
        <v>830</v>
      </c>
      <c r="I25">
        <v>913</v>
      </c>
      <c r="J25" s="2"/>
      <c r="K25">
        <f>SexRatio[[#This Row],[ Rural - 2001]]/SexRatio[[#This Row],[Urban - 2001]]</f>
        <v>1.0602409638554218</v>
      </c>
      <c r="L25">
        <f>SexRatio[[#This Row],[ Rural - 2011]]/SexRatio[[#This Row],[Urban - 2011]]</f>
        <v>0.96604600219058046</v>
      </c>
      <c r="M25" t="s">
        <v>45</v>
      </c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</row>
    <row r="26" spans="1:44">
      <c r="A26" t="s">
        <v>104</v>
      </c>
      <c r="B26" t="s">
        <v>105</v>
      </c>
      <c r="C26" t="s">
        <v>59</v>
      </c>
      <c r="D26">
        <v>987</v>
      </c>
      <c r="E26">
        <v>996</v>
      </c>
      <c r="F26">
        <v>992</v>
      </c>
      <c r="G26">
        <v>993</v>
      </c>
      <c r="H26">
        <v>982</v>
      </c>
      <c r="I26">
        <v>1000</v>
      </c>
      <c r="J26" s="2"/>
      <c r="K26">
        <f>SexRatio[[#This Row],[ Rural - 2001]]/SexRatio[[#This Row],[Urban - 2001]]</f>
        <v>1.0101832993890021</v>
      </c>
      <c r="L26">
        <f>SexRatio[[#This Row],[ Rural - 2011]]/SexRatio[[#This Row],[Urban - 2011]]</f>
        <v>0.99299999999999999</v>
      </c>
      <c r="M26" t="s">
        <v>59</v>
      </c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1:44">
      <c r="A27" t="s">
        <v>104</v>
      </c>
      <c r="B27" t="s">
        <v>38</v>
      </c>
      <c r="C27" t="s">
        <v>46</v>
      </c>
      <c r="D27">
        <v>948</v>
      </c>
      <c r="E27">
        <v>960</v>
      </c>
      <c r="F27">
        <v>946</v>
      </c>
      <c r="G27">
        <v>955</v>
      </c>
      <c r="H27">
        <v>959</v>
      </c>
      <c r="I27">
        <v>973</v>
      </c>
      <c r="J27" s="2"/>
      <c r="K27">
        <f>SexRatio[[#This Row],[ Rural - 2001]]/SexRatio[[#This Row],[Urban - 2001]]</f>
        <v>0.986444212721585</v>
      </c>
      <c r="L27">
        <f>SexRatio[[#This Row],[ Rural - 2011]]/SexRatio[[#This Row],[Urban - 2011]]</f>
        <v>0.98150051387461457</v>
      </c>
      <c r="M27" t="s">
        <v>46</v>
      </c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1:44">
      <c r="A28" t="s">
        <v>104</v>
      </c>
      <c r="B28" t="s">
        <v>94</v>
      </c>
      <c r="C28" t="s">
        <v>77</v>
      </c>
      <c r="D28">
        <v>898</v>
      </c>
      <c r="E28">
        <v>912</v>
      </c>
      <c r="F28">
        <v>904</v>
      </c>
      <c r="G28">
        <v>918</v>
      </c>
      <c r="H28">
        <v>876</v>
      </c>
      <c r="I28">
        <v>894</v>
      </c>
      <c r="J28" s="2"/>
      <c r="K28">
        <f>SexRatio[[#This Row],[ Rural - 2001]]/SexRatio[[#This Row],[Urban - 2001]]</f>
        <v>1.0319634703196348</v>
      </c>
      <c r="L28">
        <f>SexRatio[[#This Row],[ Rural - 2011]]/SexRatio[[#This Row],[Urban - 2011]]</f>
        <v>1.0268456375838926</v>
      </c>
      <c r="M28" t="s">
        <v>77</v>
      </c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1:44">
      <c r="A29" t="s">
        <v>104</v>
      </c>
      <c r="B29" t="s">
        <v>94</v>
      </c>
      <c r="C29" t="s">
        <v>89</v>
      </c>
      <c r="D29">
        <v>962</v>
      </c>
      <c r="E29">
        <v>963</v>
      </c>
      <c r="F29">
        <v>1007</v>
      </c>
      <c r="G29">
        <v>1000</v>
      </c>
      <c r="H29">
        <v>845</v>
      </c>
      <c r="I29">
        <v>884</v>
      </c>
      <c r="J29" s="2"/>
      <c r="K29">
        <f>SexRatio[[#This Row],[ Rural - 2001]]/SexRatio[[#This Row],[Urban - 2001]]</f>
        <v>1.1917159763313609</v>
      </c>
      <c r="L29">
        <f>SexRatio[[#This Row],[ Rural - 2011]]/SexRatio[[#This Row],[Urban - 2011]]</f>
        <v>1.1312217194570136</v>
      </c>
      <c r="M29" t="s">
        <v>89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1:44">
      <c r="A30" t="s">
        <v>104</v>
      </c>
      <c r="B30" t="s">
        <v>106</v>
      </c>
      <c r="C30" t="s">
        <v>78</v>
      </c>
      <c r="D30">
        <v>934</v>
      </c>
      <c r="E30">
        <v>950</v>
      </c>
      <c r="F30">
        <v>950</v>
      </c>
      <c r="G30">
        <v>953</v>
      </c>
      <c r="H30">
        <v>893</v>
      </c>
      <c r="I30">
        <v>944</v>
      </c>
      <c r="J30" s="2"/>
      <c r="K30">
        <f>SexRatio[[#This Row],[ Rural - 2001]]/SexRatio[[#This Row],[Urban - 2001]]</f>
        <v>1.0638297872340425</v>
      </c>
      <c r="L30">
        <f>SexRatio[[#This Row],[ Rural - 2011]]/SexRatio[[#This Row],[Urban - 2011]]</f>
        <v>1.0095338983050848</v>
      </c>
      <c r="M30" t="s">
        <v>78</v>
      </c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1:44">
      <c r="A31" t="s">
        <v>61</v>
      </c>
      <c r="B31" t="s">
        <v>109</v>
      </c>
      <c r="C31" t="s">
        <v>65</v>
      </c>
      <c r="D31">
        <v>846</v>
      </c>
      <c r="E31">
        <v>876</v>
      </c>
      <c r="F31">
        <v>861</v>
      </c>
      <c r="G31">
        <v>877</v>
      </c>
      <c r="H31">
        <v>815</v>
      </c>
      <c r="I31">
        <v>874</v>
      </c>
      <c r="J31" s="2"/>
      <c r="K31">
        <f>SexRatio[[#This Row],[ Rural - 2001]]/SexRatio[[#This Row],[Urban - 2001]]</f>
        <v>1.0564417177914109</v>
      </c>
      <c r="L31">
        <f>SexRatio[[#This Row],[ Rural - 2011]]/SexRatio[[#This Row],[Urban - 2011]]</f>
        <v>1.0034324942791761</v>
      </c>
      <c r="M31" t="s">
        <v>65</v>
      </c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1:44">
      <c r="A32" t="s">
        <v>61</v>
      </c>
      <c r="B32" t="s">
        <v>109</v>
      </c>
      <c r="C32" t="s">
        <v>66</v>
      </c>
      <c r="D32">
        <v>777</v>
      </c>
      <c r="E32">
        <v>818</v>
      </c>
      <c r="F32">
        <v>621</v>
      </c>
      <c r="G32">
        <v>690</v>
      </c>
      <c r="H32">
        <v>796</v>
      </c>
      <c r="I32">
        <v>822</v>
      </c>
      <c r="J32" s="2"/>
      <c r="K32">
        <f>SexRatio[[#This Row],[ Rural - 2001]]/SexRatio[[#This Row],[Urban - 2001]]</f>
        <v>0.78015075376884424</v>
      </c>
      <c r="L32">
        <f>SexRatio[[#This Row],[ Rural - 2011]]/SexRatio[[#This Row],[Urban - 2011]]</f>
        <v>0.83941605839416056</v>
      </c>
      <c r="M32" t="s">
        <v>66</v>
      </c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  <row r="33" spans="1:44">
      <c r="A33" t="s">
        <v>61</v>
      </c>
      <c r="B33" t="s">
        <v>109</v>
      </c>
      <c r="C33" t="s">
        <v>67</v>
      </c>
      <c r="D33">
        <v>812</v>
      </c>
      <c r="E33">
        <v>774</v>
      </c>
      <c r="F33">
        <v>852</v>
      </c>
      <c r="G33">
        <v>863</v>
      </c>
      <c r="H33">
        <v>691</v>
      </c>
      <c r="I33">
        <v>682</v>
      </c>
      <c r="J33" s="2"/>
      <c r="K33">
        <f>SexRatio[[#This Row],[ Rural - 2001]]/SexRatio[[#This Row],[Urban - 2001]]</f>
        <v>1.2329956584659914</v>
      </c>
      <c r="L33">
        <f>SexRatio[[#This Row],[ Rural - 2011]]/SexRatio[[#This Row],[Urban - 2011]]</f>
        <v>1.2653958944281525</v>
      </c>
      <c r="M33" t="s">
        <v>67</v>
      </c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</row>
    <row r="34" spans="1:44">
      <c r="A34" t="s">
        <v>61</v>
      </c>
      <c r="B34" t="s">
        <v>109</v>
      </c>
      <c r="C34" t="s">
        <v>68</v>
      </c>
      <c r="D34">
        <v>710</v>
      </c>
      <c r="E34">
        <v>618</v>
      </c>
      <c r="F34">
        <v>586</v>
      </c>
      <c r="G34">
        <v>864</v>
      </c>
      <c r="H34">
        <v>984</v>
      </c>
      <c r="I34">
        <v>551</v>
      </c>
      <c r="J34" s="2"/>
      <c r="K34">
        <f>SexRatio[[#This Row],[ Rural - 2001]]/SexRatio[[#This Row],[Urban - 2001]]</f>
        <v>0.59552845528455289</v>
      </c>
      <c r="L34">
        <f>SexRatio[[#This Row],[ Rural - 2011]]/SexRatio[[#This Row],[Urban - 2011]]</f>
        <v>1.5680580762250453</v>
      </c>
      <c r="M34" t="s">
        <v>68</v>
      </c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5" spans="1:44">
      <c r="A35" t="s">
        <v>61</v>
      </c>
      <c r="B35" t="s">
        <v>109</v>
      </c>
      <c r="C35" t="s">
        <v>69</v>
      </c>
      <c r="D35">
        <v>948</v>
      </c>
      <c r="E35">
        <v>946</v>
      </c>
      <c r="F35">
        <v>959</v>
      </c>
      <c r="G35">
        <v>952</v>
      </c>
      <c r="H35">
        <v>935</v>
      </c>
      <c r="I35">
        <v>945</v>
      </c>
      <c r="J35" s="2"/>
      <c r="K35">
        <f>SexRatio[[#This Row],[ Rural - 2001]]/SexRatio[[#This Row],[Urban - 2001]]</f>
        <v>1.0256684491978609</v>
      </c>
      <c r="L35">
        <f>SexRatio[[#This Row],[ Rural - 2011]]/SexRatio[[#This Row],[Urban - 2011]]</f>
        <v>1.0074074074074073</v>
      </c>
      <c r="M35" t="s">
        <v>69</v>
      </c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</row>
    <row r="36" spans="1:44">
      <c r="A36" t="s">
        <v>61</v>
      </c>
      <c r="B36" t="s">
        <v>109</v>
      </c>
      <c r="C36" t="s">
        <v>70</v>
      </c>
      <c r="D36">
        <v>821</v>
      </c>
      <c r="E36">
        <v>868</v>
      </c>
      <c r="F36">
        <v>810</v>
      </c>
      <c r="G36">
        <v>852</v>
      </c>
      <c r="H36">
        <v>822</v>
      </c>
      <c r="I36">
        <v>868</v>
      </c>
      <c r="J36" s="2"/>
      <c r="K36">
        <f>SexRatio[[#This Row],[ Rural - 2001]]/SexRatio[[#This Row],[Urban - 2001]]</f>
        <v>0.98540145985401462</v>
      </c>
      <c r="L36">
        <f>SexRatio[[#This Row],[ Rural - 2011]]/SexRatio[[#This Row],[Urban - 2011]]</f>
        <v>0.98156682027649766</v>
      </c>
      <c r="M36" t="s">
        <v>70</v>
      </c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</row>
    <row r="37" spans="1:44">
      <c r="A37" t="s">
        <v>61</v>
      </c>
      <c r="B37" t="s">
        <v>109</v>
      </c>
      <c r="C37" t="s">
        <v>58</v>
      </c>
      <c r="D37">
        <v>1001</v>
      </c>
      <c r="E37">
        <v>1037</v>
      </c>
      <c r="F37">
        <v>990</v>
      </c>
      <c r="G37">
        <v>1028</v>
      </c>
      <c r="H37">
        <v>1007</v>
      </c>
      <c r="I37">
        <v>1042</v>
      </c>
      <c r="J37" s="2"/>
      <c r="K37">
        <f>SexRatio[[#This Row],[ Rural - 2001]]/SexRatio[[#This Row],[Urban - 2001]]</f>
        <v>0.98311817279046676</v>
      </c>
      <c r="L37">
        <f>SexRatio[[#This Row],[ Rural - 2011]]/SexRatio[[#This Row],[Urban - 2011]]</f>
        <v>0.98656429942418422</v>
      </c>
      <c r="M37" t="s">
        <v>58</v>
      </c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</row>
    <row r="38" spans="1:44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</row>
    <row r="39" spans="1:44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</row>
    <row r="40" spans="1:44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</row>
    <row r="41" spans="1:44">
      <c r="A41" s="2"/>
      <c r="B41" s="2"/>
      <c r="C41" s="19" t="s">
        <v>6</v>
      </c>
      <c r="D41" s="19">
        <f>MAX(D3:D37)</f>
        <v>1058</v>
      </c>
      <c r="E41" s="19">
        <f>MAX(E2:E37)</f>
        <v>1084</v>
      </c>
      <c r="F41" s="19">
        <f t="shared" ref="F41:I41" si="0">MAX(F3:F37)</f>
        <v>1059</v>
      </c>
      <c r="G41" s="19">
        <f t="shared" si="0"/>
        <v>1078</v>
      </c>
      <c r="H41" s="19">
        <f t="shared" si="0"/>
        <v>1058</v>
      </c>
      <c r="I41" s="19">
        <f t="shared" si="0"/>
        <v>1091</v>
      </c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</row>
    <row r="42" spans="1:44">
      <c r="A42" s="2"/>
      <c r="B42" s="2"/>
      <c r="C42" s="19" t="s">
        <v>7</v>
      </c>
      <c r="D42" s="19">
        <f t="shared" ref="D42:I42" si="1">MIN(D3:D37)</f>
        <v>710</v>
      </c>
      <c r="E42" s="19">
        <f t="shared" si="1"/>
        <v>618</v>
      </c>
      <c r="F42" s="19">
        <f t="shared" si="1"/>
        <v>586</v>
      </c>
      <c r="G42" s="19">
        <f t="shared" si="1"/>
        <v>690</v>
      </c>
      <c r="H42" s="19">
        <f t="shared" si="1"/>
        <v>691</v>
      </c>
      <c r="I42" s="19">
        <f t="shared" si="1"/>
        <v>551</v>
      </c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</row>
    <row r="43" spans="1:44">
      <c r="A43" s="2"/>
      <c r="B43" s="2"/>
      <c r="C43" s="19" t="s">
        <v>110</v>
      </c>
      <c r="D43" s="19">
        <f t="shared" ref="D43:I43" si="2">STDEV(D3:D37)</f>
        <v>68.332012011547093</v>
      </c>
      <c r="E43" s="19">
        <f t="shared" si="2"/>
        <v>79.735402763023117</v>
      </c>
      <c r="F43" s="19">
        <f t="shared" si="2"/>
        <v>94.587578909884613</v>
      </c>
      <c r="G43" s="19">
        <f t="shared" si="2"/>
        <v>66.525511628840491</v>
      </c>
      <c r="H43" s="19">
        <f t="shared" si="2"/>
        <v>76.018098243143399</v>
      </c>
      <c r="I43" s="19">
        <f t="shared" si="2"/>
        <v>96.067404557880209</v>
      </c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</row>
    <row r="44" spans="1:44">
      <c r="A44" s="2"/>
      <c r="B44" s="2"/>
      <c r="C44" s="19" t="s">
        <v>8</v>
      </c>
      <c r="D44" s="19">
        <f t="shared" ref="D44:I44" si="3">VAR(D3:D37)</f>
        <v>4669.2638655462169</v>
      </c>
      <c r="E44" s="19">
        <f t="shared" si="3"/>
        <v>6357.7344537815143</v>
      </c>
      <c r="F44" s="19">
        <f t="shared" si="3"/>
        <v>8946.8100840336483</v>
      </c>
      <c r="G44" s="19">
        <f t="shared" si="3"/>
        <v>4425.6436974789922</v>
      </c>
      <c r="H44" s="19">
        <f t="shared" si="3"/>
        <v>5778.7512605042011</v>
      </c>
      <c r="I44" s="19">
        <f t="shared" si="3"/>
        <v>9228.9462184874228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</row>
    <row r="45" spans="1:44">
      <c r="A45" s="2"/>
      <c r="B45" s="2"/>
      <c r="C45" s="2" t="s">
        <v>111</v>
      </c>
      <c r="D45" s="2">
        <f>AVERAGE(D3:D37)</f>
        <v>919.82857142857142</v>
      </c>
      <c r="E45" s="2">
        <f t="shared" ref="E45:I45" si="4">AVERAGE(E3:E37)</f>
        <v>931.02857142857147</v>
      </c>
      <c r="F45" s="2">
        <f t="shared" si="4"/>
        <v>922.88571428571424</v>
      </c>
      <c r="G45" s="2">
        <f t="shared" si="4"/>
        <v>941.94285714285718</v>
      </c>
      <c r="H45" s="2">
        <f t="shared" si="4"/>
        <v>891.68571428571431</v>
      </c>
      <c r="I45" s="2">
        <f t="shared" si="4"/>
        <v>911.62857142857138</v>
      </c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</row>
    <row r="46" spans="1:44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</row>
    <row r="47" spans="1:44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</row>
    <row r="48" spans="1:44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</row>
    <row r="49" spans="1:44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</row>
    <row r="50" spans="1:44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</row>
    <row r="51" spans="1:44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</row>
    <row r="52" spans="1:44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</row>
    <row r="53" spans="1:44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</row>
    <row r="54" spans="1:44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</row>
    <row r="55" spans="1:44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</row>
    <row r="56" spans="1:44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</row>
    <row r="57" spans="1:44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</row>
    <row r="58" spans="1:44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</row>
    <row r="59" spans="1:44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</row>
    <row r="60" spans="1:44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</row>
    <row r="61" spans="1:44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</row>
    <row r="62" spans="1:44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</row>
    <row r="63" spans="1:44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</row>
    <row r="64" spans="1:44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</row>
    <row r="65" spans="1:44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</row>
    <row r="66" spans="1:44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</row>
    <row r="67" spans="1:44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</row>
    <row r="68" spans="1:44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</row>
    <row r="69" spans="1:44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</row>
    <row r="70" spans="1:44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</row>
    <row r="71" spans="1:44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</row>
    <row r="72" spans="1:44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</row>
    <row r="73" spans="1:44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</row>
    <row r="74" spans="1:44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</row>
    <row r="75" spans="1:44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</row>
    <row r="76" spans="1:44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</row>
    <row r="77" spans="1:44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</row>
    <row r="78" spans="1:44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</row>
    <row r="79" spans="1:44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</row>
    <row r="80" spans="1:44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</row>
    <row r="81" spans="1:44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</row>
    <row r="82" spans="1:44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</row>
    <row r="83" spans="1:44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</row>
    <row r="84" spans="1:44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</row>
    <row r="85" spans="1:44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</row>
    <row r="86" spans="1:44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</row>
    <row r="87" spans="1:44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</row>
    <row r="88" spans="1:44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</row>
    <row r="89" spans="1:44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</row>
    <row r="90" spans="1:44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</row>
    <row r="91" spans="1:44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</row>
    <row r="92" spans="1:44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</row>
    <row r="93" spans="1:44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</row>
    <row r="94" spans="1:44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</row>
    <row r="95" spans="1:44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</row>
    <row r="96" spans="1:44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</row>
    <row r="97" spans="1:44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</row>
    <row r="98" spans="1:44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</row>
    <row r="99" spans="1:44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</row>
    <row r="100" spans="1:44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</row>
    <row r="101" spans="1:44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</row>
    <row r="102" spans="1:44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</row>
    <row r="103" spans="1:44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</row>
    <row r="104" spans="1:44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</row>
    <row r="105" spans="1:44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</row>
    <row r="106" spans="1:44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</row>
    <row r="107" spans="1:44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</row>
    <row r="108" spans="1:44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</row>
    <row r="109" spans="1:44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</row>
    <row r="110" spans="1:44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</row>
    <row r="111" spans="1:44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</row>
    <row r="112" spans="1:44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</row>
    <row r="113" spans="1:44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</row>
    <row r="114" spans="1:44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</row>
    <row r="115" spans="1:44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</row>
    <row r="116" spans="1:44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</row>
    <row r="117" spans="1:44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</row>
    <row r="118" spans="1:44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</row>
    <row r="119" spans="1:44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</row>
    <row r="120" spans="1:44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</row>
    <row r="121" spans="1:44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</row>
    <row r="122" spans="1:44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</row>
    <row r="123" spans="1:44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</row>
    <row r="124" spans="1:44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</row>
    <row r="125" spans="1:44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</row>
    <row r="126" spans="1:44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</row>
    <row r="127" spans="1:44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</row>
    <row r="128" spans="1:44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</row>
    <row r="129" spans="1:44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</row>
    <row r="130" spans="1:44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</row>
    <row r="131" spans="1:44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</row>
    <row r="132" spans="1:44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</row>
    <row r="133" spans="1:44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</row>
    <row r="134" spans="1:44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</row>
    <row r="135" spans="1:44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</row>
    <row r="136" spans="1:44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</row>
    <row r="137" spans="1:44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</row>
    <row r="138" spans="1:44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</row>
    <row r="139" spans="1:44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</row>
    <row r="140" spans="1:44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</row>
    <row r="141" spans="1:44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</row>
    <row r="142" spans="1:44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</row>
    <row r="143" spans="1:44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</row>
    <row r="144" spans="1:44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</row>
    <row r="145" spans="1:44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</row>
    <row r="146" spans="1:44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</row>
    <row r="147" spans="1:44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</row>
    <row r="148" spans="1:44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</row>
    <row r="149" spans="1:44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</row>
    <row r="150" spans="1:44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</row>
    <row r="151" spans="1:44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</row>
    <row r="152" spans="1:44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</row>
    <row r="153" spans="1:44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</row>
    <row r="154" spans="1:44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</row>
    <row r="155" spans="1:44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</row>
    <row r="156" spans="1:44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</row>
    <row r="157" spans="1:44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</row>
    <row r="158" spans="1:44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</row>
    <row r="159" spans="1:44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</row>
    <row r="160" spans="1:44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</row>
    <row r="161" spans="1:44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</row>
    <row r="162" spans="1:44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</row>
    <row r="163" spans="1:44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</row>
    <row r="164" spans="1:44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</row>
    <row r="165" spans="1:44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</row>
    <row r="166" spans="1:44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</row>
    <row r="167" spans="1:44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</row>
    <row r="168" spans="1:44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</row>
    <row r="169" spans="1:44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</row>
    <row r="170" spans="1:44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</row>
    <row r="171" spans="1:44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</row>
    <row r="172" spans="1:44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</row>
    <row r="173" spans="1:44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</row>
    <row r="174" spans="1:44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</row>
    <row r="175" spans="1:44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</row>
    <row r="176" spans="1:44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</row>
    <row r="177" spans="1:44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</row>
    <row r="178" spans="1:44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</row>
    <row r="179" spans="1:44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</row>
    <row r="180" spans="1:44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</row>
    <row r="181" spans="1:44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</row>
    <row r="182" spans="1:44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</row>
    <row r="183" spans="1:44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</row>
    <row r="184" spans="1:44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</row>
    <row r="185" spans="1:44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</row>
    <row r="186" spans="1:44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</row>
    <row r="187" spans="1:44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</row>
    <row r="188" spans="1:44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</row>
    <row r="189" spans="1:44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</row>
    <row r="190" spans="1:44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</row>
    <row r="191" spans="1:44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</row>
    <row r="192" spans="1:44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</row>
    <row r="193" spans="1:44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</row>
    <row r="194" spans="1:44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</row>
    <row r="195" spans="1:44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</row>
    <row r="196" spans="1:44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</row>
    <row r="197" spans="1:44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</row>
    <row r="198" spans="1:44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</row>
    <row r="199" spans="1:44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</row>
    <row r="200" spans="1:44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</row>
    <row r="201" spans="1:44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</row>
    <row r="202" spans="1:44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</row>
    <row r="203" spans="1:44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</row>
    <row r="204" spans="1:44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</row>
    <row r="205" spans="1:44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</row>
    <row r="206" spans="1:44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</row>
    <row r="207" spans="1:44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</row>
    <row r="208" spans="1:44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</row>
    <row r="209" spans="1:44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</row>
    <row r="210" spans="1:44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</row>
    <row r="211" spans="1:44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</row>
    <row r="212" spans="1:44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</row>
    <row r="213" spans="1:44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</row>
    <row r="214" spans="1:44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</row>
    <row r="215" spans="1:44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</row>
    <row r="216" spans="1:44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</row>
    <row r="217" spans="1:44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</row>
    <row r="218" spans="1:44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</row>
    <row r="219" spans="1:44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</row>
    <row r="220" spans="1:44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</row>
    <row r="221" spans="1:44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</row>
    <row r="222" spans="1:44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</row>
    <row r="223" spans="1:44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</row>
    <row r="224" spans="1:44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</row>
    <row r="225" spans="1:44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</row>
    <row r="226" spans="1:44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</row>
    <row r="227" spans="1:44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</row>
    <row r="228" spans="1:44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</row>
    <row r="229" spans="1:44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</row>
    <row r="230" spans="1:44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</row>
    <row r="231" spans="1:44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</row>
    <row r="232" spans="1:44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</row>
    <row r="233" spans="1:44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</row>
    <row r="234" spans="1:44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</row>
    <row r="235" spans="1:44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</row>
    <row r="236" spans="1:44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</row>
    <row r="237" spans="1:44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</row>
    <row r="238" spans="1:44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</row>
    <row r="239" spans="1:44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</row>
    <row r="240" spans="1:44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</row>
    <row r="241" spans="1:44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</row>
    <row r="242" spans="1:44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</row>
    <row r="243" spans="1:44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</row>
    <row r="244" spans="1:44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</row>
    <row r="245" spans="1:44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</row>
    <row r="246" spans="1:44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</row>
    <row r="247" spans="1:44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</row>
    <row r="248" spans="1:44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</row>
    <row r="249" spans="1:44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</row>
    <row r="250" spans="1:44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</row>
    <row r="251" spans="1:44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</row>
    <row r="252" spans="1:44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</row>
    <row r="253" spans="1:44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</row>
    <row r="254" spans="1:44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</row>
    <row r="255" spans="1:44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</row>
    <row r="256" spans="1:44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</row>
    <row r="257" spans="1:44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</row>
    <row r="258" spans="1:44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</row>
    <row r="259" spans="1:44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</row>
    <row r="260" spans="1:44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</row>
    <row r="261" spans="1:44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</row>
    <row r="262" spans="1:44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</row>
    <row r="263" spans="1:44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</row>
    <row r="264" spans="1:44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</row>
    <row r="265" spans="1:44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</row>
    <row r="266" spans="1:44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</row>
    <row r="267" spans="1:44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</row>
    <row r="268" spans="1:44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</row>
    <row r="269" spans="1:44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</row>
    <row r="270" spans="1:44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</row>
    <row r="271" spans="1:44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</row>
    <row r="272" spans="1:44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</row>
    <row r="273" spans="1:44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</row>
    <row r="274" spans="1:44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</row>
    <row r="275" spans="1:44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</row>
    <row r="276" spans="1:44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</row>
    <row r="277" spans="1:44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</row>
    <row r="278" spans="1:44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</row>
    <row r="279" spans="1:44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</row>
    <row r="280" spans="1:44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</row>
    <row r="281" spans="1:44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</row>
    <row r="282" spans="1:44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</row>
    <row r="283" spans="1:44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</row>
    <row r="284" spans="1:44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</row>
    <row r="285" spans="1:44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</row>
    <row r="286" spans="1:44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</row>
    <row r="287" spans="1:44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</row>
    <row r="288" spans="1:44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</row>
    <row r="289" spans="1:44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</row>
    <row r="290" spans="1:44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</row>
    <row r="291" spans="1:44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</row>
    <row r="292" spans="1:44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</row>
    <row r="293" spans="1:44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</row>
    <row r="294" spans="1:44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</row>
    <row r="295" spans="1:44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</row>
    <row r="296" spans="1:44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</row>
    <row r="297" spans="1:44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</row>
    <row r="298" spans="1:44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</row>
    <row r="299" spans="1:44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</row>
    <row r="300" spans="1:44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</row>
    <row r="301" spans="1:44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</row>
    <row r="302" spans="1:44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</row>
    <row r="303" spans="1:44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</row>
    <row r="304" spans="1:44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</row>
    <row r="305" spans="1:44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</row>
    <row r="306" spans="1:44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</row>
    <row r="307" spans="1:44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</row>
    <row r="308" spans="1:44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</row>
    <row r="309" spans="1:44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</row>
    <row r="310" spans="1:44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</row>
    <row r="311" spans="1:44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</row>
    <row r="312" spans="1:44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</row>
    <row r="313" spans="1:44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</row>
    <row r="314" spans="1:44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</row>
    <row r="315" spans="1:44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</row>
    <row r="316" spans="1:44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</row>
    <row r="317" spans="1:44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</row>
    <row r="318" spans="1:44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</row>
    <row r="319" spans="1:44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</row>
    <row r="320" spans="1:44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</row>
    <row r="321" spans="1:44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</row>
    <row r="322" spans="1:44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</row>
    <row r="323" spans="1:44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</row>
    <row r="324" spans="1:44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</row>
    <row r="325" spans="1:44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</row>
    <row r="326" spans="1:44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</row>
    <row r="327" spans="1:44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</row>
    <row r="328" spans="1:44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</row>
    <row r="329" spans="1:44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</row>
    <row r="330" spans="1:44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</row>
    <row r="331" spans="1:44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</row>
    <row r="332" spans="1:44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</row>
    <row r="333" spans="1:44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</row>
    <row r="334" spans="1:44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</row>
    <row r="335" spans="1:44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</row>
    <row r="336" spans="1:44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</row>
    <row r="337" spans="1:44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</row>
    <row r="338" spans="1:44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</row>
    <row r="339" spans="1:44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</row>
    <row r="340" spans="1:44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</row>
    <row r="341" spans="1:44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</row>
    <row r="342" spans="1:44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</row>
    <row r="343" spans="1:44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</row>
    <row r="344" spans="1:44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</row>
    <row r="345" spans="1:44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</row>
    <row r="346" spans="1:44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</row>
    <row r="347" spans="1:44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</row>
    <row r="348" spans="1:44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</row>
    <row r="349" spans="1:44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</row>
    <row r="350" spans="1:44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</row>
    <row r="351" spans="1:44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</row>
    <row r="352" spans="1:44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</row>
    <row r="353" spans="1:44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</row>
    <row r="354" spans="1:44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</row>
    <row r="355" spans="1:44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</row>
    <row r="356" spans="1:44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</row>
    <row r="357" spans="1:44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</row>
    <row r="358" spans="1:44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</row>
    <row r="359" spans="1:44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</row>
    <row r="360" spans="1:44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</row>
    <row r="361" spans="1:44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</row>
    <row r="362" spans="1:44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</row>
    <row r="363" spans="1:44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</row>
    <row r="364" spans="1:44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</row>
    <row r="365" spans="1:44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</row>
    <row r="366" spans="1:44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</row>
    <row r="367" spans="1:44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</row>
    <row r="368" spans="1:44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</row>
    <row r="369" spans="1:44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</row>
    <row r="370" spans="1:44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</row>
    <row r="371" spans="1:44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</row>
    <row r="372" spans="1:44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</row>
    <row r="373" spans="1:44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</row>
    <row r="374" spans="1:44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</row>
    <row r="375" spans="1:44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</row>
    <row r="376" spans="1:44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</row>
    <row r="377" spans="1:44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</row>
    <row r="378" spans="1:44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</row>
    <row r="379" spans="1:44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</row>
    <row r="380" spans="1:44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</row>
    <row r="381" spans="1:44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</row>
    <row r="382" spans="1:44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</row>
    <row r="383" spans="1:44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</row>
    <row r="384" spans="1:44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</row>
    <row r="385" spans="1:44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</row>
    <row r="386" spans="1:44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</row>
    <row r="387" spans="1:44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</row>
    <row r="388" spans="1:44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</row>
    <row r="389" spans="1:44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</row>
    <row r="390" spans="1:44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</row>
    <row r="391" spans="1:44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</row>
    <row r="392" spans="1:44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</row>
    <row r="393" spans="1:44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</row>
    <row r="394" spans="1:44"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</row>
    <row r="395" spans="1:44"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</row>
  </sheetData>
  <pageMargins left="0.7" right="0.7" top="0.75" bottom="0.75" header="0.3" footer="0.3"/>
  <ignoredErrors>
    <ignoredError sqref="D41" formulaRange="1"/>
  </ignoredErrors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3:B14"/>
  <sheetViews>
    <sheetView workbookViewId="0">
      <selection activeCell="A19" sqref="A19"/>
    </sheetView>
  </sheetViews>
  <sheetFormatPr defaultColWidth="8.6640625" defaultRowHeight="15"/>
  <cols>
    <col min="1" max="1" width="15.6640625" bestFit="1" customWidth="1"/>
    <col min="2" max="3" width="30.75" bestFit="1" customWidth="1"/>
  </cols>
  <sheetData>
    <row r="3" spans="1:2">
      <c r="A3" s="53" t="s">
        <v>79</v>
      </c>
      <c r="B3" t="s">
        <v>112</v>
      </c>
    </row>
    <row r="4" spans="1:2">
      <c r="A4" t="s">
        <v>65</v>
      </c>
      <c r="B4" s="15">
        <v>9.5</v>
      </c>
    </row>
    <row r="5" spans="1:2">
      <c r="A5" t="s">
        <v>66</v>
      </c>
      <c r="B5" s="15">
        <v>7</v>
      </c>
    </row>
    <row r="6" spans="1:2">
      <c r="A6" t="s">
        <v>67</v>
      </c>
      <c r="B6" s="15">
        <v>16.399999999999999</v>
      </c>
    </row>
    <row r="7" spans="1:2">
      <c r="A7" t="s">
        <v>68</v>
      </c>
      <c r="B7" s="15">
        <v>31.6</v>
      </c>
    </row>
    <row r="8" spans="1:2">
      <c r="A8" t="s">
        <v>84</v>
      </c>
      <c r="B8" s="15">
        <v>6.9</v>
      </c>
    </row>
    <row r="9" spans="1:2">
      <c r="A9" t="s">
        <v>56</v>
      </c>
      <c r="B9" s="15">
        <v>12.4</v>
      </c>
    </row>
    <row r="10" spans="1:2">
      <c r="A10" t="s">
        <v>41</v>
      </c>
      <c r="B10" s="15">
        <v>5.9</v>
      </c>
    </row>
    <row r="11" spans="1:2">
      <c r="A11" t="s">
        <v>58</v>
      </c>
      <c r="B11" s="15">
        <v>7.2</v>
      </c>
    </row>
    <row r="12" spans="1:2">
      <c r="A12" t="s">
        <v>45</v>
      </c>
      <c r="B12" s="15">
        <v>7</v>
      </c>
    </row>
    <row r="13" spans="1:2">
      <c r="A13" t="s">
        <v>89</v>
      </c>
      <c r="B13" s="15">
        <v>8.1999999999999993</v>
      </c>
    </row>
    <row r="14" spans="1:2">
      <c r="A14" t="s">
        <v>47</v>
      </c>
      <c r="B14" s="15">
        <v>112.10000000000002</v>
      </c>
    </row>
  </sheetData>
  <pageMargins left="0.75" right="0.75" top="1" bottom="1" header="0.5" footer="0.5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C73"/>
  <sheetViews>
    <sheetView zoomScale="82" zoomScaleNormal="82" workbookViewId="0"/>
  </sheetViews>
  <sheetFormatPr defaultColWidth="9" defaultRowHeight="15"/>
  <cols>
    <col min="1" max="1" width="13.5" customWidth="1"/>
    <col min="2" max="2" width="16.6640625" customWidth="1"/>
    <col min="3" max="3" width="18.08203125" customWidth="1"/>
    <col min="4" max="4" width="17.6640625" customWidth="1"/>
    <col min="5" max="6" width="18.4140625" customWidth="1"/>
    <col min="7" max="7" width="18.58203125" customWidth="1"/>
    <col min="8" max="8" width="19" customWidth="1"/>
    <col min="9" max="9" width="27.9140625" customWidth="1"/>
    <col min="10" max="10" width="29" customWidth="1"/>
  </cols>
  <sheetData>
    <row r="1" spans="1:29">
      <c r="A1" t="s">
        <v>60</v>
      </c>
      <c r="B1" t="s">
        <v>79</v>
      </c>
      <c r="C1" t="s">
        <v>113</v>
      </c>
      <c r="D1" t="s">
        <v>114</v>
      </c>
      <c r="E1" t="s">
        <v>115</v>
      </c>
      <c r="F1" t="s">
        <v>116</v>
      </c>
      <c r="G1" t="s">
        <v>117</v>
      </c>
      <c r="H1" t="s">
        <v>118</v>
      </c>
      <c r="I1" s="17" t="s">
        <v>119</v>
      </c>
      <c r="J1" s="17" t="s">
        <v>120</v>
      </c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>
      <c r="A2" t="s">
        <v>102</v>
      </c>
      <c r="B2" t="s">
        <v>103</v>
      </c>
      <c r="C2">
        <v>927</v>
      </c>
      <c r="D2">
        <v>918</v>
      </c>
      <c r="E2">
        <v>934</v>
      </c>
      <c r="F2">
        <v>923</v>
      </c>
      <c r="G2">
        <v>906</v>
      </c>
      <c r="H2">
        <v>905</v>
      </c>
      <c r="I2" s="18">
        <v>2.7</v>
      </c>
      <c r="J2" s="18">
        <v>0.6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>
      <c r="A3" t="s">
        <v>104</v>
      </c>
      <c r="B3" t="s">
        <v>52</v>
      </c>
      <c r="C3">
        <v>961</v>
      </c>
      <c r="D3">
        <v>939</v>
      </c>
      <c r="E3">
        <v>963</v>
      </c>
      <c r="F3">
        <v>941</v>
      </c>
      <c r="G3">
        <v>955</v>
      </c>
      <c r="H3">
        <v>935</v>
      </c>
      <c r="I3" s="18">
        <v>5.8</v>
      </c>
      <c r="J3" s="18">
        <v>1.8</v>
      </c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>
      <c r="A4" t="s">
        <v>104</v>
      </c>
      <c r="B4" t="s">
        <v>39</v>
      </c>
      <c r="C4">
        <v>964</v>
      </c>
      <c r="D4">
        <v>972</v>
      </c>
      <c r="E4">
        <v>960</v>
      </c>
      <c r="F4">
        <v>975</v>
      </c>
      <c r="G4">
        <v>980</v>
      </c>
      <c r="H4">
        <v>957</v>
      </c>
      <c r="I4" s="18">
        <v>3.5</v>
      </c>
      <c r="J4" s="18">
        <v>7.4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29">
      <c r="A5" t="s">
        <v>104</v>
      </c>
      <c r="B5" t="s">
        <v>40</v>
      </c>
      <c r="C5">
        <v>965</v>
      </c>
      <c r="D5">
        <v>962</v>
      </c>
      <c r="E5">
        <v>967</v>
      </c>
      <c r="F5">
        <v>964</v>
      </c>
      <c r="G5">
        <v>943</v>
      </c>
      <c r="H5">
        <v>944</v>
      </c>
      <c r="I5" s="18">
        <v>0.4</v>
      </c>
      <c r="J5" s="18">
        <v>3.1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</row>
    <row r="6" spans="1:29">
      <c r="A6" t="s">
        <v>104</v>
      </c>
      <c r="B6" t="s">
        <v>51</v>
      </c>
      <c r="C6">
        <v>942</v>
      </c>
      <c r="D6">
        <v>935</v>
      </c>
      <c r="E6">
        <v>944</v>
      </c>
      <c r="F6">
        <v>938</v>
      </c>
      <c r="G6">
        <v>924</v>
      </c>
      <c r="H6">
        <v>912</v>
      </c>
      <c r="I6" s="18">
        <v>1.8</v>
      </c>
      <c r="J6" s="18">
        <v>2.4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</row>
    <row r="7" spans="1:29">
      <c r="A7" t="s">
        <v>104</v>
      </c>
      <c r="B7" t="s">
        <v>53</v>
      </c>
      <c r="C7">
        <v>975</v>
      </c>
      <c r="D7">
        <v>969</v>
      </c>
      <c r="E7">
        <v>982</v>
      </c>
      <c r="F7">
        <v>977</v>
      </c>
      <c r="G7">
        <v>938</v>
      </c>
      <c r="H7">
        <v>937</v>
      </c>
      <c r="I7" s="18">
        <v>2.2999999999999998</v>
      </c>
      <c r="J7" s="18">
        <v>1.4</v>
      </c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29">
      <c r="A8" t="s">
        <v>104</v>
      </c>
      <c r="B8" t="s">
        <v>54</v>
      </c>
      <c r="C8">
        <v>938</v>
      </c>
      <c r="D8">
        <v>942</v>
      </c>
      <c r="E8">
        <v>952</v>
      </c>
      <c r="F8">
        <v>945</v>
      </c>
      <c r="G8">
        <v>924</v>
      </c>
      <c r="H8">
        <v>940</v>
      </c>
      <c r="I8" s="18">
        <v>3.3</v>
      </c>
      <c r="J8" s="18">
        <v>2.5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</row>
    <row r="9" spans="1:29">
      <c r="A9" t="s">
        <v>104</v>
      </c>
      <c r="B9" t="s">
        <v>82</v>
      </c>
      <c r="C9">
        <v>883</v>
      </c>
      <c r="D9">
        <v>890</v>
      </c>
      <c r="E9">
        <v>906</v>
      </c>
      <c r="F9">
        <v>914</v>
      </c>
      <c r="G9">
        <v>837</v>
      </c>
      <c r="H9">
        <v>852</v>
      </c>
      <c r="I9" s="18">
        <v>3.3</v>
      </c>
      <c r="J9" s="18">
        <v>4.2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</row>
    <row r="10" spans="1:29">
      <c r="A10" t="s">
        <v>104</v>
      </c>
      <c r="B10" t="s">
        <v>83</v>
      </c>
      <c r="C10">
        <v>819</v>
      </c>
      <c r="D10">
        <v>834</v>
      </c>
      <c r="E10">
        <v>823</v>
      </c>
      <c r="F10">
        <v>835</v>
      </c>
      <c r="G10">
        <v>808</v>
      </c>
      <c r="H10">
        <v>832</v>
      </c>
      <c r="I10" s="18">
        <v>5.4</v>
      </c>
      <c r="J10" s="18">
        <v>5.0999999999999996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</row>
    <row r="11" spans="1:29">
      <c r="A11" t="s">
        <v>104</v>
      </c>
      <c r="B11" t="s">
        <v>84</v>
      </c>
      <c r="C11">
        <v>896</v>
      </c>
      <c r="D11">
        <v>909</v>
      </c>
      <c r="E11">
        <v>900</v>
      </c>
      <c r="F11">
        <v>912</v>
      </c>
      <c r="G11">
        <v>844</v>
      </c>
      <c r="H11">
        <v>881</v>
      </c>
      <c r="I11" s="18">
        <v>6.9</v>
      </c>
      <c r="J11" s="18">
        <v>8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</row>
    <row r="12" spans="1:29">
      <c r="A12" t="s">
        <v>104</v>
      </c>
      <c r="B12" t="s">
        <v>85</v>
      </c>
      <c r="C12">
        <v>941</v>
      </c>
      <c r="D12">
        <v>862</v>
      </c>
      <c r="E12">
        <v>957</v>
      </c>
      <c r="F12">
        <v>865</v>
      </c>
      <c r="G12">
        <v>873</v>
      </c>
      <c r="H12">
        <v>850</v>
      </c>
      <c r="I12" s="18">
        <v>3.1</v>
      </c>
      <c r="J12" s="18">
        <v>5.2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</row>
    <row r="13" spans="1:29">
      <c r="A13" t="s">
        <v>104</v>
      </c>
      <c r="B13" t="s">
        <v>86</v>
      </c>
      <c r="C13">
        <v>965</v>
      </c>
      <c r="D13">
        <v>948</v>
      </c>
      <c r="E13">
        <v>973</v>
      </c>
      <c r="F13">
        <v>957</v>
      </c>
      <c r="G13">
        <v>930</v>
      </c>
      <c r="H13">
        <v>908</v>
      </c>
      <c r="I13" s="18">
        <v>0</v>
      </c>
      <c r="J13" s="18">
        <v>2.5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</row>
    <row r="14" spans="1:29">
      <c r="A14" t="s">
        <v>104</v>
      </c>
      <c r="B14" t="s">
        <v>55</v>
      </c>
      <c r="C14">
        <v>946</v>
      </c>
      <c r="D14">
        <v>948</v>
      </c>
      <c r="E14">
        <v>949</v>
      </c>
      <c r="F14">
        <v>950</v>
      </c>
      <c r="G14">
        <v>940</v>
      </c>
      <c r="H14">
        <v>946</v>
      </c>
      <c r="I14" s="18">
        <v>2.6</v>
      </c>
      <c r="J14" s="18">
        <v>2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</row>
    <row r="15" spans="1:29">
      <c r="A15" t="s">
        <v>104</v>
      </c>
      <c r="B15" t="s">
        <v>56</v>
      </c>
      <c r="C15">
        <v>960</v>
      </c>
      <c r="D15">
        <v>964</v>
      </c>
      <c r="E15">
        <v>961</v>
      </c>
      <c r="F15">
        <v>965</v>
      </c>
      <c r="G15">
        <v>958</v>
      </c>
      <c r="H15">
        <v>963</v>
      </c>
      <c r="I15" s="18">
        <v>12.4</v>
      </c>
      <c r="J15" s="18">
        <v>10.199999999999999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</row>
    <row r="16" spans="1:29">
      <c r="A16" t="s">
        <v>104</v>
      </c>
      <c r="B16" t="s">
        <v>75</v>
      </c>
      <c r="C16">
        <v>932</v>
      </c>
      <c r="D16">
        <v>918</v>
      </c>
      <c r="E16">
        <v>939</v>
      </c>
      <c r="F16">
        <v>923</v>
      </c>
      <c r="G16">
        <v>907</v>
      </c>
      <c r="H16">
        <v>901</v>
      </c>
      <c r="I16" s="18">
        <v>1.4</v>
      </c>
      <c r="J16" s="18">
        <v>1.4</v>
      </c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</row>
    <row r="17" spans="1:29">
      <c r="A17" t="s">
        <v>104</v>
      </c>
      <c r="B17" t="s">
        <v>76</v>
      </c>
      <c r="C17">
        <v>913</v>
      </c>
      <c r="D17">
        <v>894</v>
      </c>
      <c r="E17">
        <v>916</v>
      </c>
      <c r="F17">
        <v>890</v>
      </c>
      <c r="G17">
        <v>908</v>
      </c>
      <c r="H17">
        <v>899</v>
      </c>
      <c r="I17" s="18">
        <v>3.9</v>
      </c>
      <c r="J17" s="18">
        <v>1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</row>
    <row r="18" spans="1:29">
      <c r="A18" t="s">
        <v>104</v>
      </c>
      <c r="B18" t="s">
        <v>41</v>
      </c>
      <c r="C18">
        <v>957</v>
      </c>
      <c r="D18">
        <v>930</v>
      </c>
      <c r="E18">
        <v>956</v>
      </c>
      <c r="F18">
        <v>923</v>
      </c>
      <c r="G18">
        <v>961</v>
      </c>
      <c r="H18">
        <v>949</v>
      </c>
      <c r="I18" s="18">
        <v>5.9</v>
      </c>
      <c r="J18" s="18">
        <v>2.2000000000000002</v>
      </c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</row>
    <row r="19" spans="1:29">
      <c r="A19" t="s">
        <v>104</v>
      </c>
      <c r="B19" t="s">
        <v>42</v>
      </c>
      <c r="C19">
        <v>973</v>
      </c>
      <c r="D19">
        <v>970</v>
      </c>
      <c r="E19">
        <v>973</v>
      </c>
      <c r="F19">
        <v>972</v>
      </c>
      <c r="G19">
        <v>969</v>
      </c>
      <c r="H19">
        <v>954</v>
      </c>
      <c r="I19" s="18">
        <v>2</v>
      </c>
      <c r="J19" s="18">
        <v>0.1</v>
      </c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</row>
    <row r="20" spans="1:29">
      <c r="A20" t="s">
        <v>104</v>
      </c>
      <c r="B20" t="s">
        <v>43</v>
      </c>
      <c r="C20">
        <v>964</v>
      </c>
      <c r="D20">
        <v>970</v>
      </c>
      <c r="E20">
        <v>965</v>
      </c>
      <c r="F20">
        <v>966</v>
      </c>
      <c r="G20">
        <v>963</v>
      </c>
      <c r="H20">
        <v>974</v>
      </c>
      <c r="I20" s="18">
        <v>0.6</v>
      </c>
      <c r="J20" s="18">
        <v>3</v>
      </c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</row>
    <row r="21" spans="1:29">
      <c r="A21" t="s">
        <v>104</v>
      </c>
      <c r="B21" t="s">
        <v>44</v>
      </c>
      <c r="C21">
        <v>964</v>
      </c>
      <c r="D21">
        <v>943</v>
      </c>
      <c r="E21">
        <v>969</v>
      </c>
      <c r="F21">
        <v>933</v>
      </c>
      <c r="G21">
        <v>939</v>
      </c>
      <c r="H21">
        <v>973</v>
      </c>
      <c r="I21" s="18">
        <v>1.3</v>
      </c>
      <c r="J21" s="18">
        <v>6.6</v>
      </c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</row>
    <row r="22" spans="1:29">
      <c r="A22" t="s">
        <v>104</v>
      </c>
      <c r="B22" t="s">
        <v>57</v>
      </c>
      <c r="C22">
        <v>953</v>
      </c>
      <c r="D22">
        <v>941</v>
      </c>
      <c r="E22">
        <v>955</v>
      </c>
      <c r="F22">
        <v>946</v>
      </c>
      <c r="G22">
        <v>933</v>
      </c>
      <c r="H22">
        <v>913</v>
      </c>
      <c r="I22" s="18">
        <v>4</v>
      </c>
      <c r="J22" s="18">
        <v>2</v>
      </c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</row>
    <row r="23" spans="1:29">
      <c r="A23" t="s">
        <v>104</v>
      </c>
      <c r="B23" t="s">
        <v>87</v>
      </c>
      <c r="C23">
        <v>798</v>
      </c>
      <c r="D23">
        <v>846</v>
      </c>
      <c r="E23">
        <v>799</v>
      </c>
      <c r="F23">
        <v>844</v>
      </c>
      <c r="G23">
        <v>796</v>
      </c>
      <c r="H23">
        <v>852</v>
      </c>
      <c r="I23" s="18">
        <v>5.8</v>
      </c>
      <c r="J23" s="18">
        <v>9.8000000000000007</v>
      </c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</row>
    <row r="24" spans="1:29">
      <c r="A24" t="s">
        <v>104</v>
      </c>
      <c r="B24" t="s">
        <v>88</v>
      </c>
      <c r="C24">
        <v>909</v>
      </c>
      <c r="D24">
        <v>888</v>
      </c>
      <c r="E24">
        <v>914</v>
      </c>
      <c r="F24">
        <v>892</v>
      </c>
      <c r="G24">
        <v>887</v>
      </c>
      <c r="H24">
        <v>874</v>
      </c>
      <c r="I24" s="18">
        <v>4.5</v>
      </c>
      <c r="J24" s="18">
        <v>1.3</v>
      </c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</row>
    <row r="25" spans="1:29">
      <c r="A25" t="s">
        <v>104</v>
      </c>
      <c r="B25" t="s">
        <v>45</v>
      </c>
      <c r="C25">
        <v>963</v>
      </c>
      <c r="D25">
        <v>957</v>
      </c>
      <c r="E25">
        <v>966</v>
      </c>
      <c r="F25">
        <v>964</v>
      </c>
      <c r="G25">
        <v>922</v>
      </c>
      <c r="H25">
        <v>934</v>
      </c>
      <c r="I25" s="18">
        <v>7</v>
      </c>
      <c r="J25" s="18">
        <v>9.1</v>
      </c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</row>
    <row r="26" spans="1:29">
      <c r="A26" t="s">
        <v>104</v>
      </c>
      <c r="B26" t="s">
        <v>59</v>
      </c>
      <c r="C26">
        <v>942</v>
      </c>
      <c r="D26">
        <v>943</v>
      </c>
      <c r="E26">
        <v>933</v>
      </c>
      <c r="F26">
        <v>936</v>
      </c>
      <c r="G26">
        <v>955</v>
      </c>
      <c r="H26">
        <v>952</v>
      </c>
      <c r="I26" s="18">
        <v>5.6</v>
      </c>
      <c r="J26" s="18">
        <v>4.8</v>
      </c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</row>
    <row r="27" spans="1:29">
      <c r="A27" t="s">
        <v>104</v>
      </c>
      <c r="B27" t="s">
        <v>46</v>
      </c>
      <c r="C27">
        <v>966</v>
      </c>
      <c r="D27">
        <v>957</v>
      </c>
      <c r="E27">
        <v>968</v>
      </c>
      <c r="F27">
        <v>960</v>
      </c>
      <c r="G27">
        <v>948</v>
      </c>
      <c r="H27">
        <v>947</v>
      </c>
      <c r="I27" s="18">
        <v>0.3</v>
      </c>
      <c r="J27" s="18">
        <v>1.9</v>
      </c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</row>
    <row r="28" spans="1:29">
      <c r="A28" t="s">
        <v>104</v>
      </c>
      <c r="B28" t="s">
        <v>77</v>
      </c>
      <c r="C28">
        <v>916</v>
      </c>
      <c r="D28">
        <v>902</v>
      </c>
      <c r="E28">
        <v>921</v>
      </c>
      <c r="F28">
        <v>906</v>
      </c>
      <c r="G28">
        <v>890</v>
      </c>
      <c r="H28">
        <v>885</v>
      </c>
      <c r="I28" s="18">
        <v>1.1000000000000001</v>
      </c>
      <c r="J28" s="18">
        <v>2</v>
      </c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</row>
    <row r="29" spans="1:29">
      <c r="A29" t="s">
        <v>104</v>
      </c>
      <c r="B29" t="s">
        <v>89</v>
      </c>
      <c r="C29">
        <v>908</v>
      </c>
      <c r="D29">
        <v>890</v>
      </c>
      <c r="E29">
        <v>918</v>
      </c>
      <c r="F29">
        <v>899</v>
      </c>
      <c r="G29">
        <v>872</v>
      </c>
      <c r="H29">
        <v>868</v>
      </c>
      <c r="I29" s="18">
        <v>8.1999999999999993</v>
      </c>
      <c r="J29" s="18">
        <v>5.9</v>
      </c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</row>
    <row r="30" spans="1:29">
      <c r="A30" t="s">
        <v>104</v>
      </c>
      <c r="B30" t="s">
        <v>78</v>
      </c>
      <c r="C30">
        <v>960</v>
      </c>
      <c r="D30">
        <v>956</v>
      </c>
      <c r="E30">
        <v>963</v>
      </c>
      <c r="F30">
        <v>959</v>
      </c>
      <c r="G30">
        <v>948</v>
      </c>
      <c r="H30">
        <v>947</v>
      </c>
      <c r="I30" s="18">
        <v>0.6</v>
      </c>
      <c r="J30" s="18">
        <v>2.7</v>
      </c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29">
      <c r="A31" t="s">
        <v>61</v>
      </c>
      <c r="B31" t="s">
        <v>65</v>
      </c>
      <c r="C31">
        <v>957</v>
      </c>
      <c r="D31">
        <v>968</v>
      </c>
      <c r="E31">
        <v>966</v>
      </c>
      <c r="F31">
        <v>976</v>
      </c>
      <c r="G31">
        <v>936</v>
      </c>
      <c r="H31">
        <v>954</v>
      </c>
      <c r="I31" s="18">
        <v>9.5</v>
      </c>
      <c r="J31" s="18">
        <v>11.6</v>
      </c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:29">
      <c r="A32" t="s">
        <v>61</v>
      </c>
      <c r="B32" t="s">
        <v>66</v>
      </c>
      <c r="C32">
        <v>845</v>
      </c>
      <c r="D32">
        <v>880</v>
      </c>
      <c r="E32">
        <v>847</v>
      </c>
      <c r="F32">
        <v>871</v>
      </c>
      <c r="G32">
        <v>845</v>
      </c>
      <c r="H32">
        <v>880</v>
      </c>
      <c r="I32" s="18">
        <v>7</v>
      </c>
      <c r="J32" s="18">
        <v>8</v>
      </c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29">
      <c r="A33" t="s">
        <v>61</v>
      </c>
      <c r="B33" t="s">
        <v>67</v>
      </c>
      <c r="C33">
        <v>979</v>
      </c>
      <c r="D33">
        <v>926</v>
      </c>
      <c r="E33">
        <v>1003</v>
      </c>
      <c r="F33">
        <v>970</v>
      </c>
      <c r="G33">
        <v>888</v>
      </c>
      <c r="H33">
        <v>872</v>
      </c>
      <c r="I33" s="18">
        <v>16.399999999999999</v>
      </c>
      <c r="J33" s="18">
        <v>17.100000000000001</v>
      </c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</row>
    <row r="34" spans="1:29">
      <c r="A34" t="s">
        <v>61</v>
      </c>
      <c r="B34" t="s">
        <v>68</v>
      </c>
      <c r="C34">
        <v>926</v>
      </c>
      <c r="D34">
        <v>904</v>
      </c>
      <c r="E34">
        <v>916</v>
      </c>
      <c r="F34">
        <v>932</v>
      </c>
      <c r="G34">
        <v>943</v>
      </c>
      <c r="H34">
        <v>894</v>
      </c>
      <c r="I34" s="18">
        <v>31.6</v>
      </c>
      <c r="J34" s="18">
        <v>23.3</v>
      </c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</row>
    <row r="35" spans="1:29">
      <c r="A35" t="s">
        <v>61</v>
      </c>
      <c r="B35" t="s">
        <v>69</v>
      </c>
      <c r="C35">
        <v>959</v>
      </c>
      <c r="D35">
        <v>911</v>
      </c>
      <c r="E35">
        <v>999</v>
      </c>
      <c r="F35">
        <v>911</v>
      </c>
      <c r="G35">
        <v>900</v>
      </c>
      <c r="H35">
        <v>911</v>
      </c>
      <c r="I35" s="18">
        <v>3.8</v>
      </c>
      <c r="J35" s="18">
        <v>1.1000000000000001</v>
      </c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</row>
    <row r="36" spans="1:29">
      <c r="A36" t="s">
        <v>61</v>
      </c>
      <c r="B36" t="s">
        <v>70</v>
      </c>
      <c r="C36">
        <v>868</v>
      </c>
      <c r="D36">
        <v>871</v>
      </c>
      <c r="E36">
        <v>850</v>
      </c>
      <c r="F36">
        <v>814</v>
      </c>
      <c r="G36">
        <v>870</v>
      </c>
      <c r="H36">
        <v>873</v>
      </c>
      <c r="I36" s="18">
        <v>0.3</v>
      </c>
      <c r="J36" s="18">
        <v>5.4</v>
      </c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</row>
    <row r="37" spans="1:29">
      <c r="A37" t="s">
        <v>61</v>
      </c>
      <c r="B37" t="s">
        <v>58</v>
      </c>
      <c r="C37">
        <v>967</v>
      </c>
      <c r="D37">
        <v>967</v>
      </c>
      <c r="E37">
        <v>967</v>
      </c>
      <c r="F37">
        <v>953</v>
      </c>
      <c r="G37">
        <v>967</v>
      </c>
      <c r="H37">
        <v>975</v>
      </c>
      <c r="I37" s="18">
        <v>7.2</v>
      </c>
      <c r="J37" s="18">
        <v>3.5</v>
      </c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</row>
    <row r="38" spans="1:29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</row>
    <row r="39" spans="1:29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</row>
    <row r="40" spans="1:29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>
      <c r="I72" s="2"/>
    </row>
    <row r="73" spans="1:29">
      <c r="I73" s="2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3:B29"/>
  <sheetViews>
    <sheetView zoomScale="99" workbookViewId="0">
      <selection activeCell="B24" sqref="B24"/>
    </sheetView>
  </sheetViews>
  <sheetFormatPr defaultColWidth="9" defaultRowHeight="15"/>
  <cols>
    <col min="1" max="1" width="13.83203125"/>
    <col min="2" max="2" width="24.6640625" bestFit="1" customWidth="1"/>
  </cols>
  <sheetData>
    <row r="3" spans="1:2">
      <c r="A3" t="s">
        <v>33</v>
      </c>
      <c r="B3" t="s">
        <v>121</v>
      </c>
    </row>
    <row r="4" spans="1:2">
      <c r="A4" s="16" t="s">
        <v>56</v>
      </c>
      <c r="B4">
        <v>90.86</v>
      </c>
    </row>
    <row r="5" spans="1:2">
      <c r="A5" s="16" t="s">
        <v>43</v>
      </c>
      <c r="B5">
        <v>88.8</v>
      </c>
    </row>
    <row r="6" spans="1:2">
      <c r="A6" s="16" t="s">
        <v>69</v>
      </c>
      <c r="B6">
        <v>86.66</v>
      </c>
    </row>
    <row r="7" spans="1:2">
      <c r="A7" s="16" t="s">
        <v>54</v>
      </c>
      <c r="B7">
        <v>82.01</v>
      </c>
    </row>
    <row r="8" spans="1:2">
      <c r="A8" s="16" t="s">
        <v>66</v>
      </c>
      <c r="B8">
        <v>81.94</v>
      </c>
    </row>
    <row r="9" spans="1:2">
      <c r="A9" s="16" t="s">
        <v>47</v>
      </c>
      <c r="B9">
        <v>430.27</v>
      </c>
    </row>
    <row r="23" spans="1:2">
      <c r="A23" t="s">
        <v>33</v>
      </c>
      <c r="B23" t="s">
        <v>93</v>
      </c>
    </row>
    <row r="24" spans="1:2">
      <c r="A24" s="16" t="s">
        <v>56</v>
      </c>
      <c r="B24">
        <v>1058</v>
      </c>
    </row>
    <row r="25" spans="1:2">
      <c r="A25" s="16" t="s">
        <v>54</v>
      </c>
      <c r="B25">
        <v>961</v>
      </c>
    </row>
    <row r="26" spans="1:2">
      <c r="A26" s="16" t="s">
        <v>69</v>
      </c>
      <c r="B26">
        <v>948</v>
      </c>
    </row>
    <row r="27" spans="1:2">
      <c r="A27" s="16" t="s">
        <v>43</v>
      </c>
      <c r="B27">
        <v>935</v>
      </c>
    </row>
    <row r="28" spans="1:2">
      <c r="A28" s="16" t="s">
        <v>66</v>
      </c>
      <c r="B28">
        <v>777</v>
      </c>
    </row>
    <row r="29" spans="1:2">
      <c r="A29" s="16" t="s">
        <v>47</v>
      </c>
      <c r="B29">
        <v>4679</v>
      </c>
    </row>
  </sheetData>
  <pageMargins left="0.7" right="0.7" top="0.75" bottom="0.75" header="0.3" footer="0.3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3:C40"/>
  <sheetViews>
    <sheetView workbookViewId="0"/>
  </sheetViews>
  <sheetFormatPr defaultColWidth="8.6640625" defaultRowHeight="15"/>
  <cols>
    <col min="1" max="1" width="17.58203125"/>
    <col min="2" max="3" width="23.9140625"/>
  </cols>
  <sheetData>
    <row r="3" spans="1:3">
      <c r="A3" t="s">
        <v>79</v>
      </c>
      <c r="B3" t="s">
        <v>121</v>
      </c>
      <c r="C3" t="s">
        <v>122</v>
      </c>
    </row>
    <row r="4" spans="1:3">
      <c r="A4" t="s">
        <v>56</v>
      </c>
      <c r="B4">
        <v>90.86</v>
      </c>
      <c r="C4">
        <v>93.91</v>
      </c>
    </row>
    <row r="5" spans="1:3">
      <c r="A5" t="s">
        <v>69</v>
      </c>
      <c r="B5">
        <v>86.66</v>
      </c>
      <c r="C5">
        <v>92.28</v>
      </c>
    </row>
    <row r="6" spans="1:3">
      <c r="A6" t="s">
        <v>43</v>
      </c>
      <c r="B6">
        <v>88.8</v>
      </c>
      <c r="C6">
        <v>91.58</v>
      </c>
    </row>
    <row r="7" spans="1:3">
      <c r="A7" t="s">
        <v>46</v>
      </c>
      <c r="B7">
        <v>73.19</v>
      </c>
      <c r="C7">
        <v>87.75</v>
      </c>
    </row>
    <row r="8" spans="1:3">
      <c r="A8" t="s">
        <v>54</v>
      </c>
      <c r="B8">
        <v>82.01</v>
      </c>
      <c r="C8">
        <v>87.4</v>
      </c>
    </row>
    <row r="9" spans="1:3">
      <c r="A9" t="s">
        <v>68</v>
      </c>
      <c r="B9">
        <v>78.180000000000007</v>
      </c>
      <c r="C9">
        <v>87.07</v>
      </c>
    </row>
    <row r="10" spans="1:3">
      <c r="A10" t="s">
        <v>58</v>
      </c>
      <c r="B10">
        <v>81.239999999999995</v>
      </c>
      <c r="C10">
        <v>86.55</v>
      </c>
    </row>
    <row r="11" spans="1:3">
      <c r="A11" t="s">
        <v>66</v>
      </c>
      <c r="B11">
        <v>81.94</v>
      </c>
      <c r="C11">
        <v>86.43</v>
      </c>
    </row>
    <row r="12" spans="1:3">
      <c r="A12" t="s">
        <v>70</v>
      </c>
      <c r="B12">
        <v>81.67</v>
      </c>
      <c r="C12">
        <v>86.34</v>
      </c>
    </row>
    <row r="13" spans="1:3">
      <c r="A13" t="s">
        <v>65</v>
      </c>
      <c r="B13">
        <v>81.3</v>
      </c>
      <c r="C13">
        <v>86.27</v>
      </c>
    </row>
    <row r="14" spans="1:3">
      <c r="A14" t="s">
        <v>84</v>
      </c>
      <c r="B14">
        <v>76.48</v>
      </c>
      <c r="C14">
        <v>83.78</v>
      </c>
    </row>
    <row r="15" spans="1:3">
      <c r="A15" t="s">
        <v>76</v>
      </c>
      <c r="B15">
        <v>76.88</v>
      </c>
      <c r="C15">
        <v>82.91</v>
      </c>
    </row>
    <row r="16" spans="1:3">
      <c r="A16" t="s">
        <v>45</v>
      </c>
      <c r="B16">
        <v>68.81</v>
      </c>
      <c r="C16">
        <v>82.2</v>
      </c>
    </row>
    <row r="17" spans="1:3">
      <c r="A17" t="s">
        <v>59</v>
      </c>
      <c r="B17">
        <v>73.45</v>
      </c>
      <c r="C17">
        <v>80.33</v>
      </c>
    </row>
    <row r="18" spans="1:3">
      <c r="A18" t="s">
        <v>44</v>
      </c>
      <c r="B18">
        <v>66.59</v>
      </c>
      <c r="C18">
        <v>80.11</v>
      </c>
    </row>
    <row r="19" spans="1:3">
      <c r="A19" t="s">
        <v>41</v>
      </c>
      <c r="B19">
        <v>70.53</v>
      </c>
      <c r="C19">
        <v>79.849999999999994</v>
      </c>
    </row>
    <row r="20" spans="1:3">
      <c r="A20" t="s">
        <v>89</v>
      </c>
      <c r="B20">
        <v>71.62</v>
      </c>
      <c r="C20">
        <v>79.63</v>
      </c>
    </row>
    <row r="21" spans="1:3">
      <c r="A21" t="s">
        <v>82</v>
      </c>
      <c r="B21">
        <v>69.14</v>
      </c>
      <c r="C21">
        <v>79.31</v>
      </c>
    </row>
    <row r="22" spans="1:3">
      <c r="A22" t="s">
        <v>67</v>
      </c>
      <c r="B22">
        <v>57.63</v>
      </c>
      <c r="C22">
        <v>77.650000000000006</v>
      </c>
    </row>
    <row r="23" spans="1:3">
      <c r="A23" t="s">
        <v>78</v>
      </c>
      <c r="B23">
        <v>68.64</v>
      </c>
      <c r="C23">
        <v>77.08</v>
      </c>
    </row>
    <row r="24" spans="1:3">
      <c r="A24" t="s">
        <v>87</v>
      </c>
      <c r="B24">
        <v>69.650000000000006</v>
      </c>
      <c r="C24">
        <v>76.680000000000007</v>
      </c>
    </row>
    <row r="25" spans="1:3">
      <c r="A25" t="s">
        <v>83</v>
      </c>
      <c r="B25">
        <v>67.91</v>
      </c>
      <c r="C25">
        <v>76.64</v>
      </c>
    </row>
    <row r="26" spans="1:3">
      <c r="A26" t="s">
        <v>55</v>
      </c>
      <c r="B26">
        <v>66.64</v>
      </c>
      <c r="C26">
        <v>75.599999999999994</v>
      </c>
    </row>
    <row r="27" spans="1:3">
      <c r="A27" t="s">
        <v>42</v>
      </c>
      <c r="B27">
        <v>62.56</v>
      </c>
      <c r="C27">
        <v>75.48</v>
      </c>
    </row>
    <row r="28" spans="1:3">
      <c r="A28" t="s">
        <v>103</v>
      </c>
      <c r="B28">
        <v>64.84</v>
      </c>
      <c r="C28">
        <v>74.040000000000006</v>
      </c>
    </row>
    <row r="29" spans="1:3">
      <c r="A29" t="s">
        <v>57</v>
      </c>
      <c r="B29">
        <v>63.08</v>
      </c>
      <c r="C29">
        <v>73.45</v>
      </c>
    </row>
    <row r="30" spans="1:3">
      <c r="A30" t="s">
        <v>40</v>
      </c>
      <c r="B30">
        <v>63.25</v>
      </c>
      <c r="C30">
        <v>73.180000000000007</v>
      </c>
    </row>
    <row r="31" spans="1:3">
      <c r="A31" t="s">
        <v>53</v>
      </c>
      <c r="B31">
        <v>64.66</v>
      </c>
      <c r="C31">
        <v>71.040000000000006</v>
      </c>
    </row>
    <row r="32" spans="1:3">
      <c r="A32" t="s">
        <v>75</v>
      </c>
      <c r="B32">
        <v>63.74</v>
      </c>
      <c r="C32">
        <v>70.63</v>
      </c>
    </row>
    <row r="33" spans="1:3">
      <c r="A33" t="s">
        <v>77</v>
      </c>
      <c r="B33">
        <v>56.27</v>
      </c>
      <c r="C33">
        <v>69.72</v>
      </c>
    </row>
    <row r="34" spans="1:3">
      <c r="A34" t="s">
        <v>85</v>
      </c>
      <c r="B34">
        <v>55.52</v>
      </c>
      <c r="C34">
        <v>68.739999999999995</v>
      </c>
    </row>
    <row r="35" spans="1:3">
      <c r="A35" t="s">
        <v>52</v>
      </c>
      <c r="B35">
        <v>60.47</v>
      </c>
      <c r="C35">
        <v>67.66</v>
      </c>
    </row>
    <row r="36" spans="1:3">
      <c r="A36" t="s">
        <v>86</v>
      </c>
      <c r="B36">
        <v>53.56</v>
      </c>
      <c r="C36">
        <v>67.63</v>
      </c>
    </row>
    <row r="37" spans="1:3">
      <c r="A37" t="s">
        <v>88</v>
      </c>
      <c r="B37">
        <v>60.41</v>
      </c>
      <c r="C37">
        <v>67.06</v>
      </c>
    </row>
    <row r="38" spans="1:3">
      <c r="A38" t="s">
        <v>39</v>
      </c>
      <c r="B38">
        <v>54.34</v>
      </c>
      <c r="C38">
        <v>66.95</v>
      </c>
    </row>
    <row r="39" spans="1:3">
      <c r="A39" t="s">
        <v>51</v>
      </c>
      <c r="B39">
        <v>47</v>
      </c>
      <c r="C39">
        <v>63.82</v>
      </c>
    </row>
    <row r="40" spans="1:3">
      <c r="A40" t="s">
        <v>47</v>
      </c>
      <c r="B40">
        <v>2499.52</v>
      </c>
      <c r="C40">
        <v>2826.75</v>
      </c>
    </row>
  </sheetData>
  <pageMargins left="0.75" right="0.75" top="1" bottom="1" header="0.5" footer="0.5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O66"/>
  <sheetViews>
    <sheetView zoomScale="130" zoomScaleNormal="130" workbookViewId="0"/>
  </sheetViews>
  <sheetFormatPr defaultColWidth="9" defaultRowHeight="15"/>
  <cols>
    <col min="1" max="1" width="14.6640625" customWidth="1"/>
    <col min="2" max="2" width="15.33203125" customWidth="1"/>
    <col min="3" max="3" width="18.58203125" customWidth="1"/>
    <col min="4" max="4" width="19.08203125" customWidth="1"/>
    <col min="8" max="8" width="19.6640625" customWidth="1"/>
  </cols>
  <sheetData>
    <row r="1" spans="1:15">
      <c r="A1" t="s">
        <v>60</v>
      </c>
      <c r="B1" t="s">
        <v>79</v>
      </c>
      <c r="C1" t="s">
        <v>123</v>
      </c>
      <c r="D1" t="s">
        <v>124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>
      <c r="A2" t="s">
        <v>102</v>
      </c>
      <c r="B2" t="s">
        <v>103</v>
      </c>
      <c r="C2">
        <v>64.84</v>
      </c>
      <c r="D2">
        <v>74.040000000000006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>
      <c r="A3" t="s">
        <v>104</v>
      </c>
      <c r="B3" t="s">
        <v>52</v>
      </c>
      <c r="C3">
        <v>60.47</v>
      </c>
      <c r="D3">
        <v>67.66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>
      <c r="A4" t="s">
        <v>104</v>
      </c>
      <c r="B4" t="s">
        <v>39</v>
      </c>
      <c r="C4">
        <v>54.34</v>
      </c>
      <c r="D4">
        <v>66.95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>
      <c r="A5" t="s">
        <v>104</v>
      </c>
      <c r="B5" t="s">
        <v>40</v>
      </c>
      <c r="C5">
        <v>63.25</v>
      </c>
      <c r="D5">
        <v>73.180000000000007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>
      <c r="A6" t="s">
        <v>104</v>
      </c>
      <c r="B6" t="s">
        <v>51</v>
      </c>
      <c r="C6">
        <v>47</v>
      </c>
      <c r="D6">
        <v>63.82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>
      <c r="A7" t="s">
        <v>104</v>
      </c>
      <c r="B7" t="s">
        <v>53</v>
      </c>
      <c r="C7">
        <v>64.66</v>
      </c>
      <c r="D7">
        <v>71.040000000000006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>
      <c r="A8" t="s">
        <v>104</v>
      </c>
      <c r="B8" t="s">
        <v>54</v>
      </c>
      <c r="C8">
        <v>82.01</v>
      </c>
      <c r="D8">
        <v>87.4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>
      <c r="A9" t="s">
        <v>104</v>
      </c>
      <c r="B9" t="s">
        <v>82</v>
      </c>
      <c r="C9">
        <v>69.14</v>
      </c>
      <c r="D9">
        <v>79.31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>
      <c r="A10" t="s">
        <v>104</v>
      </c>
      <c r="B10" t="s">
        <v>83</v>
      </c>
      <c r="C10">
        <v>67.91</v>
      </c>
      <c r="D10">
        <v>76.64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1:15">
      <c r="A11" t="s">
        <v>104</v>
      </c>
      <c r="B11" t="s">
        <v>84</v>
      </c>
      <c r="C11">
        <v>76.48</v>
      </c>
      <c r="D11">
        <v>83.78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>
      <c r="A12" t="s">
        <v>104</v>
      </c>
      <c r="B12" t="s">
        <v>85</v>
      </c>
      <c r="C12">
        <v>55.52</v>
      </c>
      <c r="D12">
        <v>68.739999999999995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>
      <c r="A13" t="s">
        <v>104</v>
      </c>
      <c r="B13" t="s">
        <v>86</v>
      </c>
      <c r="C13">
        <v>53.56</v>
      </c>
      <c r="D13">
        <v>67.63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5">
      <c r="A14" t="s">
        <v>104</v>
      </c>
      <c r="B14" t="s">
        <v>55</v>
      </c>
      <c r="C14">
        <v>66.64</v>
      </c>
      <c r="D14">
        <v>75.599999999999994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5">
      <c r="A15" t="s">
        <v>104</v>
      </c>
      <c r="B15" t="s">
        <v>56</v>
      </c>
      <c r="C15">
        <v>90.86</v>
      </c>
      <c r="D15">
        <v>93.91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5">
      <c r="A16" t="s">
        <v>104</v>
      </c>
      <c r="B16" t="s">
        <v>75</v>
      </c>
      <c r="C16">
        <v>63.74</v>
      </c>
      <c r="D16">
        <v>70.63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>
      <c r="A17" t="s">
        <v>104</v>
      </c>
      <c r="B17" t="s">
        <v>76</v>
      </c>
      <c r="C17">
        <v>76.88</v>
      </c>
      <c r="D17">
        <v>82.91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>
      <c r="A18" t="s">
        <v>104</v>
      </c>
      <c r="B18" t="s">
        <v>41</v>
      </c>
      <c r="C18">
        <v>70.53</v>
      </c>
      <c r="D18">
        <v>79.849999999999994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>
      <c r="A19" t="s">
        <v>104</v>
      </c>
      <c r="B19" t="s">
        <v>42</v>
      </c>
      <c r="C19">
        <v>62.56</v>
      </c>
      <c r="D19">
        <v>75.48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>
      <c r="A20" t="s">
        <v>104</v>
      </c>
      <c r="B20" t="s">
        <v>43</v>
      </c>
      <c r="C20">
        <v>88.8</v>
      </c>
      <c r="D20">
        <v>91.58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>
      <c r="A21" t="s">
        <v>104</v>
      </c>
      <c r="B21" t="s">
        <v>44</v>
      </c>
      <c r="C21">
        <v>66.59</v>
      </c>
      <c r="D21">
        <v>80.11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>
      <c r="A22" t="s">
        <v>104</v>
      </c>
      <c r="B22" t="s">
        <v>57</v>
      </c>
      <c r="C22">
        <v>63.08</v>
      </c>
      <c r="D22">
        <v>73.45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>
      <c r="A23" t="s">
        <v>104</v>
      </c>
      <c r="B23" t="s">
        <v>87</v>
      </c>
      <c r="C23">
        <v>69.650000000000006</v>
      </c>
      <c r="D23">
        <v>76.680000000000007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>
      <c r="A24" t="s">
        <v>104</v>
      </c>
      <c r="B24" t="s">
        <v>88</v>
      </c>
      <c r="C24">
        <v>60.41</v>
      </c>
      <c r="D24">
        <v>67.06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>
      <c r="A25" t="s">
        <v>104</v>
      </c>
      <c r="B25" t="s">
        <v>45</v>
      </c>
      <c r="C25">
        <v>68.81</v>
      </c>
      <c r="D25">
        <v>82.2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>
      <c r="A26" t="s">
        <v>104</v>
      </c>
      <c r="B26" t="s">
        <v>59</v>
      </c>
      <c r="C26">
        <v>73.45</v>
      </c>
      <c r="D26">
        <v>80.33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>
      <c r="A27" t="s">
        <v>104</v>
      </c>
      <c r="B27" t="s">
        <v>46</v>
      </c>
      <c r="C27">
        <v>73.19</v>
      </c>
      <c r="D27">
        <v>87.75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>
      <c r="A28" t="s">
        <v>104</v>
      </c>
      <c r="B28" t="s">
        <v>77</v>
      </c>
      <c r="C28">
        <v>56.27</v>
      </c>
      <c r="D28">
        <v>69.72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>
      <c r="A29" t="s">
        <v>104</v>
      </c>
      <c r="B29" t="s">
        <v>89</v>
      </c>
      <c r="C29">
        <v>71.62</v>
      </c>
      <c r="D29">
        <v>79.63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>
      <c r="A30" t="s">
        <v>104</v>
      </c>
      <c r="B30" t="s">
        <v>78</v>
      </c>
      <c r="C30">
        <v>68.64</v>
      </c>
      <c r="D30">
        <v>77.08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>
      <c r="A31" t="s">
        <v>61</v>
      </c>
      <c r="B31" t="s">
        <v>65</v>
      </c>
      <c r="C31">
        <v>81.3</v>
      </c>
      <c r="D31">
        <v>86.27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>
      <c r="A32" t="s">
        <v>61</v>
      </c>
      <c r="B32" t="s">
        <v>66</v>
      </c>
      <c r="C32">
        <v>81.94</v>
      </c>
      <c r="D32">
        <v>86.43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>
      <c r="A33" t="s">
        <v>61</v>
      </c>
      <c r="B33" t="s">
        <v>67</v>
      </c>
      <c r="C33">
        <v>57.63</v>
      </c>
      <c r="D33">
        <v>77.650000000000006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>
      <c r="A34" t="s">
        <v>61</v>
      </c>
      <c r="B34" t="s">
        <v>68</v>
      </c>
      <c r="C34">
        <v>78.180000000000007</v>
      </c>
      <c r="D34">
        <v>87.07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>
      <c r="A35" t="s">
        <v>61</v>
      </c>
      <c r="B35" t="s">
        <v>69</v>
      </c>
      <c r="C35">
        <v>86.66</v>
      </c>
      <c r="D35">
        <v>92.28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>
      <c r="A36" t="s">
        <v>61</v>
      </c>
      <c r="B36" t="s">
        <v>70</v>
      </c>
      <c r="C36">
        <v>81.67</v>
      </c>
      <c r="D36">
        <v>86.34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>
      <c r="A37" t="s">
        <v>61</v>
      </c>
      <c r="B37" t="s">
        <v>58</v>
      </c>
      <c r="C37">
        <v>81.239999999999995</v>
      </c>
      <c r="D37">
        <v>86.55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U87"/>
  <sheetViews>
    <sheetView zoomScale="95" zoomScaleNormal="95" workbookViewId="0"/>
  </sheetViews>
  <sheetFormatPr defaultColWidth="9" defaultRowHeight="15"/>
  <cols>
    <col min="1" max="1" width="17.08203125" customWidth="1"/>
    <col min="2" max="2" width="19.33203125" customWidth="1"/>
    <col min="3" max="3" width="15" customWidth="1"/>
    <col min="4" max="4" width="12.83203125" bestFit="1" customWidth="1"/>
    <col min="5" max="5" width="12.5" customWidth="1"/>
    <col min="6" max="6" width="12.6640625" customWidth="1"/>
  </cols>
  <sheetData>
    <row r="1" spans="1:21">
      <c r="A1" t="s">
        <v>79</v>
      </c>
      <c r="B1" t="s">
        <v>124</v>
      </c>
      <c r="C1" t="s">
        <v>97</v>
      </c>
      <c r="D1" t="s">
        <v>125</v>
      </c>
      <c r="E1" t="s">
        <v>126</v>
      </c>
      <c r="F1" t="s">
        <v>127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1">
      <c r="A2" t="s">
        <v>84</v>
      </c>
      <c r="B2">
        <v>75.599999999999994</v>
      </c>
      <c r="C2">
        <v>973</v>
      </c>
      <c r="D2">
        <v>11</v>
      </c>
      <c r="E2">
        <v>11</v>
      </c>
      <c r="F2">
        <f>(Table5[[#This Row],[RANK(L.R.)]]-Table5[[#This Row],[RANK(S.R.)]])^2</f>
        <v>0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>
      <c r="A3" t="s">
        <v>56</v>
      </c>
      <c r="B3">
        <v>75.48</v>
      </c>
      <c r="C3">
        <v>989</v>
      </c>
      <c r="D3">
        <v>1</v>
      </c>
      <c r="E3">
        <v>1</v>
      </c>
      <c r="F3">
        <f>(Table5[[#This Row],[RANK(L.R.)]]-Table5[[#This Row],[RANK(S.R.)]])^2</f>
        <v>0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21">
      <c r="A4" t="s">
        <v>85</v>
      </c>
      <c r="B4">
        <v>70.63</v>
      </c>
      <c r="C4">
        <v>931</v>
      </c>
      <c r="D4">
        <v>31</v>
      </c>
      <c r="E4">
        <v>28</v>
      </c>
      <c r="F4">
        <f>(Table5[[#This Row],[RANK(L.R.)]]-Table5[[#This Row],[RANK(S.R.)]])^2</f>
        <v>9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1">
      <c r="A5" t="s">
        <v>54</v>
      </c>
      <c r="B5">
        <v>83.78</v>
      </c>
      <c r="C5">
        <v>972</v>
      </c>
      <c r="D5">
        <v>5</v>
      </c>
      <c r="E5">
        <v>10</v>
      </c>
      <c r="F5">
        <f>(Table5[[#This Row],[RANK(L.R.)]]-Table5[[#This Row],[RANK(S.R.)]])^2</f>
        <v>25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1">
      <c r="A6" t="s">
        <v>82</v>
      </c>
      <c r="B6">
        <v>68.739999999999995</v>
      </c>
      <c r="C6">
        <v>889</v>
      </c>
      <c r="D6">
        <v>18</v>
      </c>
      <c r="E6">
        <v>23</v>
      </c>
      <c r="F6">
        <f>(Table5[[#This Row],[RANK(L.R.)]]-Table5[[#This Row],[RANK(S.R.)]])^2</f>
        <v>25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>
      <c r="A7" t="s">
        <v>44</v>
      </c>
      <c r="B7">
        <v>80.33</v>
      </c>
      <c r="C7">
        <v>996</v>
      </c>
      <c r="D7">
        <v>15</v>
      </c>
      <c r="E7">
        <v>20</v>
      </c>
      <c r="F7">
        <f>(Table5[[#This Row],[RANK(L.R.)]]-Table5[[#This Row],[RANK(S.R.)]])^2</f>
        <v>25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>
      <c r="A8" t="s">
        <v>58</v>
      </c>
      <c r="B8">
        <v>79.63</v>
      </c>
      <c r="C8">
        <v>963</v>
      </c>
      <c r="D8">
        <v>7</v>
      </c>
      <c r="E8">
        <v>2</v>
      </c>
      <c r="F8">
        <f>(Table5[[#This Row],[RANK(L.R.)]]-Table5[[#This Row],[RANK(S.R.)]])^2</f>
        <v>25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>
      <c r="A9" t="s">
        <v>87</v>
      </c>
      <c r="B9">
        <v>77.08</v>
      </c>
      <c r="C9">
        <v>950</v>
      </c>
      <c r="D9">
        <v>21</v>
      </c>
      <c r="E9">
        <v>26</v>
      </c>
      <c r="F9">
        <f>(Table5[[#This Row],[RANK(L.R.)]]-Table5[[#This Row],[RANK(S.R.)]])^2</f>
        <v>25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1">
      <c r="A10" t="s">
        <v>77</v>
      </c>
      <c r="B10">
        <v>92.28</v>
      </c>
      <c r="C10">
        <v>946</v>
      </c>
      <c r="D10">
        <v>30</v>
      </c>
      <c r="E10">
        <v>25</v>
      </c>
      <c r="F10">
        <f>(Table5[[#This Row],[RANK(L.R.)]]-Table5[[#This Row],[RANK(S.R.)]])^2</f>
        <v>25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1">
      <c r="A11" t="s">
        <v>89</v>
      </c>
      <c r="B11">
        <v>86.34</v>
      </c>
      <c r="C11">
        <v>868</v>
      </c>
      <c r="D11">
        <v>17</v>
      </c>
      <c r="E11">
        <v>12</v>
      </c>
      <c r="F11">
        <f>(Table5[[#This Row],[RANK(L.R.)]]-Table5[[#This Row],[RANK(S.R.)]])^2</f>
        <v>25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1">
      <c r="A12" t="s">
        <v>78</v>
      </c>
      <c r="B12">
        <v>86.55</v>
      </c>
      <c r="C12">
        <v>1037</v>
      </c>
      <c r="D12">
        <v>20</v>
      </c>
      <c r="E12">
        <v>15</v>
      </c>
      <c r="F12">
        <f>(Table5[[#This Row],[RANK(L.R.)]]-Table5[[#This Row],[RANK(S.R.)]])^2</f>
        <v>25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1">
      <c r="A13" t="s">
        <v>43</v>
      </c>
      <c r="B13">
        <v>82.2</v>
      </c>
      <c r="C13">
        <v>890</v>
      </c>
      <c r="D13">
        <v>3</v>
      </c>
      <c r="E13">
        <v>9</v>
      </c>
      <c r="F13">
        <f>(Table5[[#This Row],[RANK(L.R.)]]-Table5[[#This Row],[RANK(S.R.)]])^2</f>
        <v>36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1">
      <c r="A14" t="s">
        <v>83</v>
      </c>
      <c r="B14">
        <v>67.63</v>
      </c>
      <c r="C14">
        <v>948</v>
      </c>
      <c r="D14">
        <v>22</v>
      </c>
      <c r="E14">
        <v>29</v>
      </c>
      <c r="F14">
        <f>(Table5[[#This Row],[RANK(L.R.)]]-Table5[[#This Row],[RANK(S.R.)]])^2</f>
        <v>49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1">
      <c r="A15" t="s">
        <v>75</v>
      </c>
      <c r="B15">
        <v>80.11</v>
      </c>
      <c r="C15">
        <v>931</v>
      </c>
      <c r="D15">
        <v>29</v>
      </c>
      <c r="E15">
        <v>20</v>
      </c>
      <c r="F15">
        <f>(Table5[[#This Row],[RANK(L.R.)]]-Table5[[#This Row],[RANK(S.R.)]])^2</f>
        <v>81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1">
      <c r="A16" t="s">
        <v>76</v>
      </c>
      <c r="B16">
        <v>73.45</v>
      </c>
      <c r="C16">
        <v>979</v>
      </c>
      <c r="D16">
        <v>12</v>
      </c>
      <c r="E16">
        <v>21</v>
      </c>
      <c r="F16">
        <f>(Table5[[#This Row],[RANK(L.R.)]]-Table5[[#This Row],[RANK(S.R.)]])^2</f>
        <v>81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1:21">
      <c r="A17" t="s">
        <v>41</v>
      </c>
      <c r="B17">
        <v>76.680000000000007</v>
      </c>
      <c r="C17">
        <v>895</v>
      </c>
      <c r="D17">
        <v>16</v>
      </c>
      <c r="E17">
        <v>7</v>
      </c>
      <c r="F17">
        <f>(Table5[[#This Row],[RANK(L.R.)]]-Table5[[#This Row],[RANK(S.R.)]])^2</f>
        <v>81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1:21">
      <c r="A18" t="s">
        <v>46</v>
      </c>
      <c r="B18">
        <v>87.07</v>
      </c>
      <c r="C18">
        <v>618</v>
      </c>
      <c r="D18">
        <v>4</v>
      </c>
      <c r="E18">
        <v>13</v>
      </c>
      <c r="F18">
        <f>(Table5[[#This Row],[RANK(L.R.)]]-Table5[[#This Row],[RANK(S.R.)]])^2</f>
        <v>81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1:21">
      <c r="A19" t="s">
        <v>59</v>
      </c>
      <c r="B19">
        <v>77.650000000000006</v>
      </c>
      <c r="C19">
        <v>774</v>
      </c>
      <c r="D19">
        <v>14</v>
      </c>
      <c r="E19">
        <v>3</v>
      </c>
      <c r="F19">
        <f>(Table5[[#This Row],[RANK(L.R.)]]-Table5[[#This Row],[RANK(S.R.)]])^2</f>
        <v>121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1:21">
      <c r="A20" t="s">
        <v>51</v>
      </c>
      <c r="B20">
        <v>63.82</v>
      </c>
      <c r="C20">
        <v>918</v>
      </c>
      <c r="D20">
        <v>36</v>
      </c>
      <c r="E20">
        <v>24</v>
      </c>
      <c r="F20">
        <f>(Table5[[#This Row],[RANK(L.R.)]]-Table5[[#This Row],[RANK(S.R.)]])^2</f>
        <v>144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1:21">
      <c r="A21" t="s">
        <v>88</v>
      </c>
      <c r="B21">
        <v>86.27</v>
      </c>
      <c r="C21">
        <v>876</v>
      </c>
      <c r="D21">
        <v>34</v>
      </c>
      <c r="E21">
        <v>22</v>
      </c>
      <c r="F21">
        <f>(Table5[[#This Row],[RANK(L.R.)]]-Table5[[#This Row],[RANK(S.R.)]])^2</f>
        <v>144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21">
      <c r="A22" t="s">
        <v>40</v>
      </c>
      <c r="B22">
        <v>73.180000000000007</v>
      </c>
      <c r="C22">
        <v>958</v>
      </c>
      <c r="D22">
        <v>27</v>
      </c>
      <c r="E22">
        <v>14</v>
      </c>
      <c r="F22">
        <f>(Table5[[#This Row],[RANK(L.R.)]]-Table5[[#This Row],[RANK(S.R.)]])^2</f>
        <v>169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21">
      <c r="A23" t="s">
        <v>55</v>
      </c>
      <c r="B23">
        <v>79.849999999999994</v>
      </c>
      <c r="C23">
        <v>985</v>
      </c>
      <c r="D23">
        <v>23</v>
      </c>
      <c r="E23">
        <v>10</v>
      </c>
      <c r="F23">
        <f>(Table5[[#This Row],[RANK(L.R.)]]-Table5[[#This Row],[RANK(S.R.)]])^2</f>
        <v>169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21">
      <c r="A24" t="s">
        <v>67</v>
      </c>
      <c r="B24">
        <v>79.31</v>
      </c>
      <c r="C24">
        <v>919</v>
      </c>
      <c r="D24">
        <v>19</v>
      </c>
      <c r="E24">
        <v>33</v>
      </c>
      <c r="F24">
        <f>(Table5[[#This Row],[RANK(L.R.)]]-Table5[[#This Row],[RANK(S.R.)]])^2</f>
        <v>196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1:21">
      <c r="A25" t="s">
        <v>45</v>
      </c>
      <c r="B25">
        <v>86.43</v>
      </c>
      <c r="C25">
        <v>818</v>
      </c>
      <c r="D25">
        <v>13</v>
      </c>
      <c r="E25">
        <v>27</v>
      </c>
      <c r="F25">
        <f>(Table5[[#This Row],[RANK(L.R.)]]-Table5[[#This Row],[RANK(S.R.)]])^2</f>
        <v>196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1:21">
      <c r="A26" t="s">
        <v>69</v>
      </c>
      <c r="B26">
        <v>91.58</v>
      </c>
      <c r="C26">
        <v>976</v>
      </c>
      <c r="D26">
        <v>2</v>
      </c>
      <c r="E26">
        <v>17</v>
      </c>
      <c r="F26">
        <f>(Table5[[#This Row],[RANK(L.R.)]]-Table5[[#This Row],[RANK(S.R.)]])^2</f>
        <v>225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1:21">
      <c r="A27" t="s">
        <v>39</v>
      </c>
      <c r="B27">
        <v>66.95</v>
      </c>
      <c r="C27">
        <v>938</v>
      </c>
      <c r="D27">
        <v>35</v>
      </c>
      <c r="E27">
        <v>19</v>
      </c>
      <c r="F27">
        <f>(Table5[[#This Row],[RANK(L.R.)]]-Table5[[#This Row],[RANK(S.R.)]])^2</f>
        <v>256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1:21">
      <c r="A28" t="s">
        <v>86</v>
      </c>
      <c r="B28">
        <v>82.91</v>
      </c>
      <c r="C28">
        <v>929</v>
      </c>
      <c r="D28">
        <v>33</v>
      </c>
      <c r="E28">
        <v>16</v>
      </c>
      <c r="F28">
        <f>(Table5[[#This Row],[RANK(L.R.)]]-Table5[[#This Row],[RANK(S.R.)]])^2</f>
        <v>289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1:21">
      <c r="A29" t="s">
        <v>42</v>
      </c>
      <c r="B29">
        <v>67.06</v>
      </c>
      <c r="C29">
        <v>928</v>
      </c>
      <c r="D29">
        <v>24</v>
      </c>
      <c r="E29">
        <v>6</v>
      </c>
      <c r="F29">
        <f>(Table5[[#This Row],[RANK(L.R.)]]-Table5[[#This Row],[RANK(S.R.)]])^2</f>
        <v>324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1:21">
      <c r="A30" t="s">
        <v>57</v>
      </c>
      <c r="B30">
        <v>69.72</v>
      </c>
      <c r="C30">
        <v>912</v>
      </c>
      <c r="D30">
        <v>26</v>
      </c>
      <c r="E30">
        <v>8</v>
      </c>
      <c r="F30">
        <f>(Table5[[#This Row],[RANK(L.R.)]]-Table5[[#This Row],[RANK(S.R.)]])^2</f>
        <v>324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1:21">
      <c r="A31" t="s">
        <v>65</v>
      </c>
      <c r="B31">
        <v>74.040000000000006</v>
      </c>
      <c r="C31">
        <v>943</v>
      </c>
      <c r="D31">
        <v>10</v>
      </c>
      <c r="E31">
        <v>30</v>
      </c>
      <c r="F31">
        <f>(Table5[[#This Row],[RANK(L.R.)]]-Table5[[#This Row],[RANK(S.R.)]])^2</f>
        <v>400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1:21">
      <c r="A32" t="s">
        <v>70</v>
      </c>
      <c r="B32">
        <v>87.75</v>
      </c>
      <c r="C32">
        <v>960</v>
      </c>
      <c r="D32">
        <v>9</v>
      </c>
      <c r="E32">
        <v>31</v>
      </c>
      <c r="F32">
        <f>(Table5[[#This Row],[RANK(L.R.)]]-Table5[[#This Row],[RANK(S.R.)]])^2</f>
        <v>484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1:21">
      <c r="A33" t="s">
        <v>53</v>
      </c>
      <c r="B33">
        <v>87.4</v>
      </c>
      <c r="C33">
        <v>973</v>
      </c>
      <c r="D33">
        <v>28</v>
      </c>
      <c r="E33">
        <v>5</v>
      </c>
      <c r="F33">
        <f>(Table5[[#This Row],[RANK(L.R.)]]-Table5[[#This Row],[RANK(S.R.)]])^2</f>
        <v>529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1:21">
      <c r="A34" t="s">
        <v>66</v>
      </c>
      <c r="B34">
        <v>71.040000000000006</v>
      </c>
      <c r="C34">
        <v>991</v>
      </c>
      <c r="D34">
        <v>8</v>
      </c>
      <c r="E34">
        <v>32</v>
      </c>
      <c r="F34">
        <f>(Table5[[#This Row],[RANK(L.R.)]]-Table5[[#This Row],[RANK(S.R.)]])^2</f>
        <v>576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1:21">
      <c r="A35" t="s">
        <v>52</v>
      </c>
      <c r="B35">
        <v>67.66</v>
      </c>
      <c r="C35">
        <v>993</v>
      </c>
      <c r="D35">
        <v>32</v>
      </c>
      <c r="E35">
        <v>4</v>
      </c>
      <c r="F35">
        <f>(Table5[[#This Row],[RANK(L.R.)]]-Table5[[#This Row],[RANK(S.R.)]])^2</f>
        <v>784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1:21">
      <c r="A36" t="s">
        <v>68</v>
      </c>
      <c r="B36">
        <v>76.64</v>
      </c>
      <c r="C36">
        <v>879</v>
      </c>
      <c r="D36">
        <v>6</v>
      </c>
      <c r="E36">
        <v>34</v>
      </c>
      <c r="F36">
        <f>(Table5[[#This Row],[RANK(L.R.)]]-Table5[[#This Row],[RANK(S.R.)]])^2</f>
        <v>784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1:2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1:2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1:2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1:2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1:2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1:2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1:2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1:2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</row>
    <row r="45" spans="1:2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</row>
    <row r="46" spans="1:2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</row>
    <row r="47" spans="1:2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</row>
    <row r="48" spans="1:2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</row>
    <row r="49" spans="1:2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</row>
    <row r="50" spans="1:2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</row>
    <row r="51" spans="1:2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</row>
    <row r="52" spans="1:2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</row>
    <row r="53" spans="1:2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</row>
    <row r="54" spans="1:2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</row>
    <row r="55" spans="1:2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</row>
    <row r="56" spans="1:2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</row>
    <row r="57" spans="1:2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</row>
    <row r="58" spans="1:2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</row>
    <row r="59" spans="1:2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</row>
    <row r="60" spans="1:2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</row>
    <row r="61" spans="1:2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</row>
    <row r="62" spans="1:2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</row>
    <row r="64" spans="1:2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</row>
    <row r="66" spans="1:2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</row>
    <row r="67" spans="1:2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</row>
    <row r="68" spans="1:2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</row>
    <row r="69" spans="1:2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</row>
    <row r="72" spans="1:2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</row>
    <row r="73" spans="1:2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</row>
    <row r="74" spans="1:2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</row>
    <row r="77" spans="1:2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</row>
    <row r="79" spans="1:2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</row>
    <row r="80" spans="1:2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</row>
    <row r="81" spans="1:2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</row>
    <row r="82" spans="1:2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</row>
    <row r="83" spans="1:2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</row>
    <row r="85" spans="1:2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</row>
    <row r="86" spans="1:2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</row>
    <row r="87" spans="1:2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</row>
  </sheetData>
  <pageMargins left="0.7" right="0.7" top="0.75" bottom="0.75" header="0.3" footer="0.3"/>
  <pageSetup paperSize="9" orientation="portrait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3:B23"/>
  <sheetViews>
    <sheetView tabSelected="1" workbookViewId="0">
      <selection activeCell="B16" sqref="B16"/>
    </sheetView>
  </sheetViews>
  <sheetFormatPr defaultColWidth="9" defaultRowHeight="15"/>
  <cols>
    <col min="1" max="1" width="16.4140625" customWidth="1"/>
    <col min="2" max="2" width="17.08203125" customWidth="1"/>
  </cols>
  <sheetData>
    <row r="3" spans="1:2">
      <c r="A3" s="53" t="s">
        <v>33</v>
      </c>
      <c r="B3" t="s">
        <v>128</v>
      </c>
    </row>
    <row r="4" spans="1:2">
      <c r="A4" s="16" t="s">
        <v>70</v>
      </c>
      <c r="B4" s="15">
        <v>47</v>
      </c>
    </row>
    <row r="5" spans="1:2">
      <c r="A5" s="16" t="s">
        <v>39</v>
      </c>
      <c r="B5" s="15">
        <v>45</v>
      </c>
    </row>
    <row r="6" spans="1:2">
      <c r="A6" s="16" t="s">
        <v>43</v>
      </c>
      <c r="B6" s="15">
        <v>41</v>
      </c>
    </row>
    <row r="7" spans="1:2">
      <c r="A7" s="16" t="s">
        <v>66</v>
      </c>
      <c r="B7" s="15">
        <v>41</v>
      </c>
    </row>
    <row r="8" spans="1:2">
      <c r="A8" s="16" t="s">
        <v>58</v>
      </c>
      <c r="B8" s="15">
        <v>36</v>
      </c>
    </row>
    <row r="9" spans="1:2">
      <c r="A9" s="16" t="s">
        <v>44</v>
      </c>
      <c r="B9" s="15">
        <v>31</v>
      </c>
    </row>
    <row r="10" spans="1:2">
      <c r="A10" s="16" t="s">
        <v>65</v>
      </c>
      <c r="B10" s="15">
        <v>30</v>
      </c>
    </row>
    <row r="11" spans="1:2">
      <c r="A11" s="16" t="s">
        <v>56</v>
      </c>
      <c r="B11" s="15">
        <v>26</v>
      </c>
    </row>
    <row r="12" spans="1:2">
      <c r="A12" s="16" t="s">
        <v>40</v>
      </c>
      <c r="B12" s="15">
        <v>23</v>
      </c>
    </row>
    <row r="13" spans="1:2">
      <c r="A13" s="16" t="s">
        <v>87</v>
      </c>
      <c r="B13" s="15">
        <v>19</v>
      </c>
    </row>
    <row r="14" spans="1:2">
      <c r="A14" s="16" t="s">
        <v>83</v>
      </c>
      <c r="B14" s="15">
        <v>18</v>
      </c>
    </row>
    <row r="15" spans="1:2">
      <c r="A15" s="16" t="s">
        <v>42</v>
      </c>
      <c r="B15" s="15">
        <v>17</v>
      </c>
    </row>
    <row r="16" spans="1:2">
      <c r="A16" s="16" t="s">
        <v>78</v>
      </c>
      <c r="B16" s="15">
        <v>16</v>
      </c>
    </row>
    <row r="17" spans="1:2">
      <c r="A17" s="16" t="s">
        <v>52</v>
      </c>
      <c r="B17" s="15">
        <v>15</v>
      </c>
    </row>
    <row r="18" spans="1:2">
      <c r="A18" s="16" t="s">
        <v>45</v>
      </c>
      <c r="B18" s="15">
        <v>15</v>
      </c>
    </row>
    <row r="19" spans="1:2">
      <c r="A19" s="16" t="s">
        <v>77</v>
      </c>
      <c r="B19" s="15">
        <v>14</v>
      </c>
    </row>
    <row r="20" spans="1:2">
      <c r="A20" s="16" t="s">
        <v>75</v>
      </c>
      <c r="B20" s="15">
        <v>12</v>
      </c>
    </row>
    <row r="21" spans="1:2">
      <c r="A21" s="16" t="s">
        <v>54</v>
      </c>
      <c r="B21" s="15">
        <v>12</v>
      </c>
    </row>
    <row r="22" spans="1:2">
      <c r="A22" s="16" t="s">
        <v>46</v>
      </c>
      <c r="B22" s="15">
        <v>12</v>
      </c>
    </row>
    <row r="23" spans="1:2">
      <c r="A23" s="16" t="s">
        <v>47</v>
      </c>
      <c r="B23" s="15">
        <v>470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0ABC3-BA5B-435D-BFBA-B8BD57AA5783}">
  <dimension ref="A3:B39"/>
  <sheetViews>
    <sheetView topLeftCell="A2" workbookViewId="0">
      <selection activeCell="J12" sqref="J12"/>
    </sheetView>
  </sheetViews>
  <sheetFormatPr defaultRowHeight="15"/>
  <cols>
    <col min="1" max="1" width="16.4140625" bestFit="1" customWidth="1"/>
    <col min="2" max="2" width="18" bestFit="1" customWidth="1"/>
  </cols>
  <sheetData>
    <row r="3" spans="1:2">
      <c r="A3" s="53" t="s">
        <v>33</v>
      </c>
      <c r="B3" t="s">
        <v>132</v>
      </c>
    </row>
    <row r="4" spans="1:2">
      <c r="A4" s="16" t="s">
        <v>70</v>
      </c>
      <c r="B4" s="15">
        <v>1</v>
      </c>
    </row>
    <row r="5" spans="1:2">
      <c r="A5" s="16" t="s">
        <v>39</v>
      </c>
      <c r="B5" s="15">
        <v>2</v>
      </c>
    </row>
    <row r="6" spans="1:2">
      <c r="A6" s="16" t="s">
        <v>66</v>
      </c>
      <c r="B6" s="15">
        <v>3</v>
      </c>
    </row>
    <row r="7" spans="1:2">
      <c r="A7" s="16" t="s">
        <v>43</v>
      </c>
      <c r="B7" s="15">
        <v>3</v>
      </c>
    </row>
    <row r="8" spans="1:2">
      <c r="A8" s="16" t="s">
        <v>58</v>
      </c>
      <c r="B8" s="15">
        <v>5</v>
      </c>
    </row>
    <row r="9" spans="1:2">
      <c r="A9" s="16" t="s">
        <v>44</v>
      </c>
      <c r="B9" s="15">
        <v>6</v>
      </c>
    </row>
    <row r="10" spans="1:2">
      <c r="A10" s="16" t="s">
        <v>65</v>
      </c>
      <c r="B10" s="15">
        <v>7</v>
      </c>
    </row>
    <row r="11" spans="1:2">
      <c r="A11" s="16" t="s">
        <v>56</v>
      </c>
      <c r="B11" s="15">
        <v>8</v>
      </c>
    </row>
    <row r="12" spans="1:2">
      <c r="A12" s="16" t="s">
        <v>40</v>
      </c>
      <c r="B12" s="15">
        <v>9</v>
      </c>
    </row>
    <row r="13" spans="1:2">
      <c r="A13" s="16" t="s">
        <v>87</v>
      </c>
      <c r="B13" s="15">
        <v>10</v>
      </c>
    </row>
    <row r="14" spans="1:2">
      <c r="A14" s="16" t="s">
        <v>83</v>
      </c>
      <c r="B14" s="15">
        <v>11</v>
      </c>
    </row>
    <row r="15" spans="1:2">
      <c r="A15" s="16" t="s">
        <v>42</v>
      </c>
      <c r="B15" s="15">
        <v>12</v>
      </c>
    </row>
    <row r="16" spans="1:2">
      <c r="A16" s="16" t="s">
        <v>78</v>
      </c>
      <c r="B16" s="15">
        <v>13</v>
      </c>
    </row>
    <row r="17" spans="1:2">
      <c r="A17" s="16" t="s">
        <v>52</v>
      </c>
      <c r="B17" s="15">
        <v>14</v>
      </c>
    </row>
    <row r="18" spans="1:2">
      <c r="A18" s="16" t="s">
        <v>45</v>
      </c>
      <c r="B18" s="15">
        <v>14</v>
      </c>
    </row>
    <row r="19" spans="1:2">
      <c r="A19" s="16" t="s">
        <v>77</v>
      </c>
      <c r="B19" s="15">
        <v>16</v>
      </c>
    </row>
    <row r="20" spans="1:2">
      <c r="A20" s="16" t="s">
        <v>75</v>
      </c>
      <c r="B20" s="15">
        <v>17</v>
      </c>
    </row>
    <row r="21" spans="1:2">
      <c r="A21" s="16" t="s">
        <v>46</v>
      </c>
      <c r="B21" s="15">
        <v>17</v>
      </c>
    </row>
    <row r="22" spans="1:2">
      <c r="A22" s="16" t="s">
        <v>54</v>
      </c>
      <c r="B22" s="15">
        <v>17</v>
      </c>
    </row>
    <row r="23" spans="1:2">
      <c r="A23" s="16" t="s">
        <v>59</v>
      </c>
      <c r="B23" s="15">
        <v>20</v>
      </c>
    </row>
    <row r="24" spans="1:2">
      <c r="A24" s="16" t="s">
        <v>55</v>
      </c>
      <c r="B24" s="15">
        <v>21</v>
      </c>
    </row>
    <row r="25" spans="1:2">
      <c r="A25" s="16" t="s">
        <v>57</v>
      </c>
      <c r="B25" s="15">
        <v>22</v>
      </c>
    </row>
    <row r="26" spans="1:2">
      <c r="A26" s="16" t="s">
        <v>88</v>
      </c>
      <c r="B26" s="15">
        <v>22</v>
      </c>
    </row>
    <row r="27" spans="1:2">
      <c r="A27" s="16" t="s">
        <v>41</v>
      </c>
      <c r="B27" s="15">
        <v>22</v>
      </c>
    </row>
    <row r="28" spans="1:2">
      <c r="A28" s="16" t="s">
        <v>76</v>
      </c>
      <c r="B28" s="15">
        <v>22</v>
      </c>
    </row>
    <row r="29" spans="1:2">
      <c r="A29" s="16" t="s">
        <v>86</v>
      </c>
      <c r="B29" s="15">
        <v>22</v>
      </c>
    </row>
    <row r="30" spans="1:2">
      <c r="A30" s="16" t="s">
        <v>84</v>
      </c>
      <c r="B30" s="15">
        <v>27</v>
      </c>
    </row>
    <row r="31" spans="1:2">
      <c r="A31" s="16" t="s">
        <v>53</v>
      </c>
      <c r="B31" s="15">
        <v>28</v>
      </c>
    </row>
    <row r="32" spans="1:2">
      <c r="A32" s="16" t="s">
        <v>89</v>
      </c>
      <c r="B32" s="15">
        <v>29</v>
      </c>
    </row>
    <row r="33" spans="1:2">
      <c r="A33" s="16" t="s">
        <v>51</v>
      </c>
      <c r="B33" s="15">
        <v>30</v>
      </c>
    </row>
    <row r="34" spans="1:2">
      <c r="A34" s="16" t="s">
        <v>82</v>
      </c>
      <c r="B34" s="15">
        <v>31.5</v>
      </c>
    </row>
    <row r="35" spans="1:2">
      <c r="A35" s="16" t="s">
        <v>69</v>
      </c>
      <c r="B35" s="15">
        <v>32</v>
      </c>
    </row>
    <row r="36" spans="1:2">
      <c r="A36" s="16" t="s">
        <v>85</v>
      </c>
      <c r="B36" s="15">
        <v>33</v>
      </c>
    </row>
    <row r="37" spans="1:2">
      <c r="A37" s="16" t="s">
        <v>67</v>
      </c>
      <c r="B37" s="15">
        <v>34</v>
      </c>
    </row>
    <row r="38" spans="1:2">
      <c r="A38" s="16" t="s">
        <v>68</v>
      </c>
      <c r="B38" s="15">
        <v>35</v>
      </c>
    </row>
    <row r="39" spans="1:2">
      <c r="A39" s="16" t="s">
        <v>47</v>
      </c>
      <c r="B39" s="15">
        <v>615.5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EC34A-AE08-41DB-AEDA-465C435BD2A6}">
  <dimension ref="A1"/>
  <sheetViews>
    <sheetView topLeftCell="B8" zoomScale="98" workbookViewId="0">
      <selection activeCell="L59" sqref="L59"/>
    </sheetView>
  </sheetViews>
  <sheetFormatPr defaultRowHeight="15"/>
  <cols>
    <col min="1" max="16384" width="8.6640625" style="69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K68"/>
  <sheetViews>
    <sheetView topLeftCell="B1" zoomScale="95" zoomScaleNormal="95" workbookViewId="0">
      <selection activeCell="L21" sqref="L21"/>
    </sheetView>
  </sheetViews>
  <sheetFormatPr defaultColWidth="8.83203125" defaultRowHeight="15"/>
  <cols>
    <col min="1" max="1" width="21.1640625" style="2" customWidth="1"/>
    <col min="2" max="2" width="10.33203125" style="2" customWidth="1"/>
    <col min="3" max="3" width="18.4140625" style="2" customWidth="1"/>
    <col min="4" max="5" width="13.1640625" style="2" customWidth="1"/>
    <col min="6" max="6" width="11.5" style="2" customWidth="1"/>
    <col min="7" max="7" width="14.5" style="2" customWidth="1"/>
    <col min="8" max="8" width="13" style="2" customWidth="1"/>
    <col min="9" max="9" width="12.4140625" style="2" customWidth="1"/>
    <col min="10" max="10" width="27.1640625" style="2" customWidth="1"/>
    <col min="11" max="16384" width="8.83203125" style="2"/>
  </cols>
  <sheetData>
    <row r="1" spans="1:10">
      <c r="A1" s="3" t="s">
        <v>60</v>
      </c>
      <c r="B1" s="3" t="s">
        <v>95</v>
      </c>
      <c r="C1" s="3" t="s">
        <v>79</v>
      </c>
      <c r="D1" s="3" t="s">
        <v>96</v>
      </c>
      <c r="E1" s="3" t="s">
        <v>97</v>
      </c>
      <c r="F1" s="3" t="s">
        <v>129</v>
      </c>
      <c r="G1" s="3" t="s">
        <v>130</v>
      </c>
      <c r="H1" s="3" t="s">
        <v>90</v>
      </c>
      <c r="I1" s="3" t="s">
        <v>91</v>
      </c>
      <c r="J1" s="3" t="s">
        <v>131</v>
      </c>
    </row>
    <row r="2" spans="1:10">
      <c r="A2" s="4" t="s">
        <v>61</v>
      </c>
      <c r="B2" s="4" t="s">
        <v>109</v>
      </c>
      <c r="C2" s="4" t="s">
        <v>68</v>
      </c>
      <c r="D2" s="4">
        <v>710</v>
      </c>
      <c r="E2" s="4">
        <v>618</v>
      </c>
      <c r="F2" s="4">
        <f>Table4[[#This Row],[ Total - 2011]]-Table4[[#This Row],[ Total - 2001]]</f>
        <v>-92</v>
      </c>
      <c r="G2" s="4">
        <v>53.8</v>
      </c>
      <c r="H2" s="4">
        <f>RANK(Table4[[#This Row],[Difference]],Table4[Difference])</f>
        <v>35</v>
      </c>
      <c r="I2" s="4">
        <f>RANK(Table4[[#This Row],[DGR -2001-11]],Table4[DGR -2001-11])</f>
        <v>2</v>
      </c>
      <c r="J2" s="4">
        <f>(Table4[[#This Row],[RANK DGR]]-Table4[[#This Row],[RANK DIFF.]])^2</f>
        <v>1089</v>
      </c>
    </row>
    <row r="3" spans="1:10">
      <c r="A3" s="4" t="s">
        <v>61</v>
      </c>
      <c r="B3" s="4" t="s">
        <v>109</v>
      </c>
      <c r="C3" s="4" t="s">
        <v>67</v>
      </c>
      <c r="D3" s="4">
        <v>812</v>
      </c>
      <c r="E3" s="4">
        <v>774</v>
      </c>
      <c r="F3" s="4">
        <f>Table4[[#This Row],[ Total - 2011]]-Table4[[#This Row],[ Total - 2001]]</f>
        <v>-38</v>
      </c>
      <c r="G3" s="4">
        <v>55.9</v>
      </c>
      <c r="H3" s="4">
        <f>RANK(Table4[[#This Row],[Difference]],Table4[Difference])</f>
        <v>34</v>
      </c>
      <c r="I3" s="4">
        <f>RANK(Table4[[#This Row],[DGR -2001-11]],Table4[DGR -2001-11])</f>
        <v>1</v>
      </c>
      <c r="J3" s="4">
        <f>(Table4[[#This Row],[RANK DGR]]-Table4[[#This Row],[RANK DIFF.]])^2</f>
        <v>1089</v>
      </c>
    </row>
    <row r="4" spans="1:10">
      <c r="A4" s="4" t="s">
        <v>104</v>
      </c>
      <c r="B4" s="4" t="s">
        <v>94</v>
      </c>
      <c r="C4" s="4" t="s">
        <v>85</v>
      </c>
      <c r="D4" s="4">
        <v>892</v>
      </c>
      <c r="E4" s="4">
        <v>889</v>
      </c>
      <c r="F4" s="4">
        <f>Table4[[#This Row],[ Total - 2011]]-Table4[[#This Row],[ Total - 2001]]</f>
        <v>-3</v>
      </c>
      <c r="G4" s="4">
        <v>23.6</v>
      </c>
      <c r="H4" s="4">
        <f>RANK(Table4[[#This Row],[Difference]],Table4[Difference])</f>
        <v>33</v>
      </c>
      <c r="I4" s="4">
        <f>RANK(Table4[[#This Row],[DGR -2001-11]],Table4[DGR -2001-11])</f>
        <v>8</v>
      </c>
      <c r="J4" s="4">
        <f>(Table4[[#This Row],[RANK DGR]]-Table4[[#This Row],[RANK DIFF.]])^2</f>
        <v>625</v>
      </c>
    </row>
    <row r="5" spans="1:10">
      <c r="A5" s="4" t="s">
        <v>61</v>
      </c>
      <c r="B5" s="4" t="s">
        <v>109</v>
      </c>
      <c r="C5" s="4" t="s">
        <v>69</v>
      </c>
      <c r="D5" s="4">
        <v>948</v>
      </c>
      <c r="E5" s="4">
        <v>946</v>
      </c>
      <c r="F5" s="4">
        <f>Table4[[#This Row],[ Total - 2011]]-Table4[[#This Row],[ Total - 2001]]</f>
        <v>-2</v>
      </c>
      <c r="G5" s="4">
        <v>6.3</v>
      </c>
      <c r="H5" s="4">
        <f>RANK(Table4[[#This Row],[Difference]],Table4[Difference])</f>
        <v>32</v>
      </c>
      <c r="I5" s="4">
        <f>RANK(Table4[[#This Row],[DGR -2001-11]],Table4[DGR -2001-11])</f>
        <v>33</v>
      </c>
      <c r="J5" s="4">
        <f>(Table4[[#This Row],[RANK DGR]]-Table4[[#This Row],[RANK DIFF.]])^2</f>
        <v>1</v>
      </c>
    </row>
    <row r="6" spans="1:10">
      <c r="A6" s="4" t="s">
        <v>104</v>
      </c>
      <c r="B6" s="4" t="s">
        <v>108</v>
      </c>
      <c r="C6" s="4" t="s">
        <v>82</v>
      </c>
      <c r="D6" s="4">
        <v>920</v>
      </c>
      <c r="E6" s="4">
        <v>919</v>
      </c>
      <c r="F6" s="4">
        <f>Table4[[#This Row],[ Total - 2011]]-Table4[[#This Row],[ Total - 2001]]</f>
        <v>-1</v>
      </c>
      <c r="G6" s="4">
        <v>19.3</v>
      </c>
      <c r="H6" s="4">
        <v>31.5</v>
      </c>
      <c r="I6" s="4">
        <f>RANK(Table4[[#This Row],[DGR -2001-11]],Table4[DGR -2001-11])</f>
        <v>17</v>
      </c>
      <c r="J6" s="4">
        <f>(Table4[[#This Row],[RANK DGR]]-Table4[[#This Row],[RANK DIFF.]])^2</f>
        <v>210.25</v>
      </c>
    </row>
    <row r="7" spans="1:10">
      <c r="A7" s="4" t="s">
        <v>104</v>
      </c>
      <c r="B7" s="4" t="s">
        <v>106</v>
      </c>
      <c r="C7" s="4" t="s">
        <v>51</v>
      </c>
      <c r="D7" s="4">
        <v>919</v>
      </c>
      <c r="E7" s="4">
        <v>918</v>
      </c>
      <c r="F7" s="4">
        <f>Table4[[#This Row],[ Total - 2011]]-Table4[[#This Row],[ Total - 2001]]</f>
        <v>-1</v>
      </c>
      <c r="G7" s="4">
        <v>25.4</v>
      </c>
      <c r="H7" s="4">
        <f>RANK(Table4[[#This Row],[Difference]],Table4[Difference])</f>
        <v>30</v>
      </c>
      <c r="I7" s="4">
        <f>RANK(Table4[[#This Row],[DGR -2001-11]],Table4[DGR -2001-11])</f>
        <v>6</v>
      </c>
      <c r="J7" s="4">
        <f>(Table4[[#This Row],[RANK DGR]]-Table4[[#This Row],[RANK DIFF.]])^2</f>
        <v>576</v>
      </c>
    </row>
    <row r="8" spans="1:10">
      <c r="A8" s="4" t="s">
        <v>104</v>
      </c>
      <c r="B8" s="4" t="s">
        <v>94</v>
      </c>
      <c r="C8" s="4" t="s">
        <v>89</v>
      </c>
      <c r="D8" s="4">
        <v>962</v>
      </c>
      <c r="E8" s="4">
        <v>963</v>
      </c>
      <c r="F8" s="4">
        <f>Table4[[#This Row],[ Total - 2011]]-Table4[[#This Row],[ Total - 2001]]</f>
        <v>1</v>
      </c>
      <c r="G8" s="4">
        <v>18.8</v>
      </c>
      <c r="H8" s="4">
        <f>RANK(Table4[[#This Row],[Difference]],Table4[Difference])</f>
        <v>29</v>
      </c>
      <c r="I8" s="4">
        <f>RANK(Table4[[#This Row],[DGR -2001-11]],Table4[DGR -2001-11])</f>
        <v>18</v>
      </c>
      <c r="J8" s="4">
        <f>(Table4[[#This Row],[RANK DGR]]-Table4[[#This Row],[RANK DIFF.]])^2</f>
        <v>121</v>
      </c>
    </row>
    <row r="9" spans="1:10">
      <c r="A9" s="4" t="s">
        <v>104</v>
      </c>
      <c r="B9" s="4" t="s">
        <v>107</v>
      </c>
      <c r="C9" s="4" t="s">
        <v>53</v>
      </c>
      <c r="D9" s="4">
        <v>989</v>
      </c>
      <c r="E9" s="4">
        <v>991</v>
      </c>
      <c r="F9" s="4">
        <f>Table4[[#This Row],[ Total - 2011]]-Table4[[#This Row],[ Total - 2001]]</f>
        <v>2</v>
      </c>
      <c r="G9" s="4">
        <v>22.6</v>
      </c>
      <c r="H9" s="4">
        <f>RANK(Table4[[#This Row],[Difference]],Table4[Difference])</f>
        <v>28</v>
      </c>
      <c r="I9" s="4">
        <f>RANK(Table4[[#This Row],[DGR -2001-11]],Table4[DGR -2001-11])</f>
        <v>10</v>
      </c>
      <c r="J9" s="4">
        <f>(Table4[[#This Row],[RANK DGR]]-Table4[[#This Row],[RANK DIFF.]])^2</f>
        <v>324</v>
      </c>
    </row>
    <row r="10" spans="1:10">
      <c r="A10" s="4" t="s">
        <v>104</v>
      </c>
      <c r="B10" s="4" t="s">
        <v>94</v>
      </c>
      <c r="C10" s="4" t="s">
        <v>84</v>
      </c>
      <c r="D10" s="4">
        <v>968</v>
      </c>
      <c r="E10" s="4">
        <v>972</v>
      </c>
      <c r="F10" s="4">
        <f>Table4[[#This Row],[ Total - 2011]]-Table4[[#This Row],[ Total - 2001]]</f>
        <v>4</v>
      </c>
      <c r="G10" s="4">
        <v>12.9</v>
      </c>
      <c r="H10" s="4">
        <f>RANK(Table4[[#This Row],[Difference]],Table4[Difference])</f>
        <v>27</v>
      </c>
      <c r="I10" s="4">
        <f>RANK(Table4[[#This Row],[DGR -2001-11]],Table4[DGR -2001-11])</f>
        <v>28</v>
      </c>
      <c r="J10" s="4">
        <f>(Table4[[#This Row],[RANK DGR]]-Table4[[#This Row],[RANK DIFF.]])^2</f>
        <v>1</v>
      </c>
    </row>
    <row r="11" spans="1:10">
      <c r="A11" s="4" t="s">
        <v>104</v>
      </c>
      <c r="B11" s="4" t="s">
        <v>106</v>
      </c>
      <c r="C11" s="4" t="s">
        <v>57</v>
      </c>
      <c r="D11" s="4">
        <v>972</v>
      </c>
      <c r="E11" s="4">
        <v>979</v>
      </c>
      <c r="F11" s="4">
        <f>Table4[[#This Row],[ Total - 2011]]-Table4[[#This Row],[ Total - 2001]]</f>
        <v>7</v>
      </c>
      <c r="G11" s="4">
        <v>14</v>
      </c>
      <c r="H11" s="4">
        <f>RANK(Table4[[#This Row],[Difference]],Table4[Difference])</f>
        <v>22</v>
      </c>
      <c r="I11" s="4">
        <f>RANK(Table4[[#This Row],[DGR -2001-11]],Table4[DGR -2001-11])</f>
        <v>25</v>
      </c>
      <c r="J11" s="4">
        <f>(Table4[[#This Row],[RANK DGR]]-Table4[[#This Row],[RANK DIFF.]])^2</f>
        <v>9</v>
      </c>
    </row>
    <row r="12" spans="1:10">
      <c r="A12" s="4" t="s">
        <v>104</v>
      </c>
      <c r="B12" s="4" t="s">
        <v>108</v>
      </c>
      <c r="C12" s="4" t="s">
        <v>76</v>
      </c>
      <c r="D12" s="4">
        <v>922</v>
      </c>
      <c r="E12" s="4">
        <v>929</v>
      </c>
      <c r="F12" s="4">
        <f>Table4[[#This Row],[ Total - 2011]]-Table4[[#This Row],[ Total - 2001]]</f>
        <v>7</v>
      </c>
      <c r="G12" s="4">
        <v>16</v>
      </c>
      <c r="H12" s="4">
        <f>RANK(Table4[[#This Row],[Difference]],Table4[Difference])</f>
        <v>22</v>
      </c>
      <c r="I12" s="4">
        <f>RANK(Table4[[#This Row],[DGR -2001-11]],Table4[DGR -2001-11])</f>
        <v>21</v>
      </c>
      <c r="J12" s="4">
        <f>(Table4[[#This Row],[RANK DGR]]-Table4[[#This Row],[RANK DIFF.]])^2</f>
        <v>1</v>
      </c>
    </row>
    <row r="13" spans="1:10">
      <c r="A13" s="4" t="s">
        <v>104</v>
      </c>
      <c r="B13" s="4" t="s">
        <v>108</v>
      </c>
      <c r="C13" s="4" t="s">
        <v>88</v>
      </c>
      <c r="D13" s="4">
        <v>921</v>
      </c>
      <c r="E13" s="4">
        <v>928</v>
      </c>
      <c r="F13" s="4">
        <f>Table4[[#This Row],[ Total - 2011]]-Table4[[#This Row],[ Total - 2001]]</f>
        <v>7</v>
      </c>
      <c r="G13" s="4">
        <v>21.3</v>
      </c>
      <c r="H13" s="4">
        <f>RANK(Table4[[#This Row],[Difference]],Table4[Difference])</f>
        <v>22</v>
      </c>
      <c r="I13" s="4">
        <f>RANK(Table4[[#This Row],[DGR -2001-11]],Table4[DGR -2001-11])</f>
        <v>12</v>
      </c>
      <c r="J13" s="4">
        <f>(Table4[[#This Row],[RANK DGR]]-Table4[[#This Row],[RANK DIFF.]])^2</f>
        <v>100</v>
      </c>
    </row>
    <row r="14" spans="1:10">
      <c r="A14" s="4" t="s">
        <v>104</v>
      </c>
      <c r="B14" s="4" t="s">
        <v>106</v>
      </c>
      <c r="C14" s="4" t="s">
        <v>86</v>
      </c>
      <c r="D14" s="4">
        <v>941</v>
      </c>
      <c r="E14" s="4">
        <v>948</v>
      </c>
      <c r="F14" s="4">
        <f>Table4[[#This Row],[ Total - 2011]]-Table4[[#This Row],[ Total - 2001]]</f>
        <v>7</v>
      </c>
      <c r="G14" s="4">
        <v>22.4</v>
      </c>
      <c r="H14" s="4">
        <f>RANK(Table4[[#This Row],[Difference]],Table4[Difference])</f>
        <v>22</v>
      </c>
      <c r="I14" s="4">
        <f>RANK(Table4[[#This Row],[DGR -2001-11]],Table4[DGR -2001-11])</f>
        <v>11</v>
      </c>
      <c r="J14" s="4">
        <f>(Table4[[#This Row],[RANK DGR]]-Table4[[#This Row],[RANK DIFF.]])^2</f>
        <v>121</v>
      </c>
    </row>
    <row r="15" spans="1:10">
      <c r="A15" s="4" t="s">
        <v>104</v>
      </c>
      <c r="B15" s="4" t="s">
        <v>38</v>
      </c>
      <c r="C15" s="4" t="s">
        <v>41</v>
      </c>
      <c r="D15" s="4">
        <v>978</v>
      </c>
      <c r="E15" s="4">
        <v>985</v>
      </c>
      <c r="F15" s="4">
        <f>Table4[[#This Row],[ Total - 2011]]-Table4[[#This Row],[ Total - 2001]]</f>
        <v>7</v>
      </c>
      <c r="G15" s="4">
        <v>24.5</v>
      </c>
      <c r="H15" s="4">
        <f>RANK(Table4[[#This Row],[Difference]],Table4[Difference])</f>
        <v>22</v>
      </c>
      <c r="I15" s="4">
        <f>RANK(Table4[[#This Row],[DGR -2001-11]],Table4[DGR -2001-11])</f>
        <v>7</v>
      </c>
      <c r="J15" s="4">
        <f>(Table4[[#This Row],[RANK DGR]]-Table4[[#This Row],[RANK DIFF.]])^2</f>
        <v>225</v>
      </c>
    </row>
    <row r="16" spans="1:10">
      <c r="A16" s="4" t="s">
        <v>104</v>
      </c>
      <c r="B16" s="4" t="s">
        <v>105</v>
      </c>
      <c r="C16" s="4" t="s">
        <v>55</v>
      </c>
      <c r="D16" s="4">
        <v>965</v>
      </c>
      <c r="E16" s="4">
        <v>973</v>
      </c>
      <c r="F16" s="4">
        <f>Table4[[#This Row],[ Total - 2011]]-Table4[[#This Row],[ Total - 2001]]</f>
        <v>8</v>
      </c>
      <c r="G16" s="4">
        <v>15.6</v>
      </c>
      <c r="H16" s="4">
        <f>RANK(Table4[[#This Row],[Difference]],Table4[Difference])</f>
        <v>21</v>
      </c>
      <c r="I16" s="4">
        <f>RANK(Table4[[#This Row],[DGR -2001-11]],Table4[DGR -2001-11])</f>
        <v>22</v>
      </c>
      <c r="J16" s="4">
        <f>(Table4[[#This Row],[RANK DGR]]-Table4[[#This Row],[RANK DIFF.]])^2</f>
        <v>1</v>
      </c>
    </row>
    <row r="17" spans="1:10">
      <c r="A17" s="4" t="s">
        <v>104</v>
      </c>
      <c r="B17" s="4" t="s">
        <v>105</v>
      </c>
      <c r="C17" s="4" t="s">
        <v>59</v>
      </c>
      <c r="D17" s="4">
        <v>987</v>
      </c>
      <c r="E17" s="4">
        <v>996</v>
      </c>
      <c r="F17" s="4">
        <f>Table4[[#This Row],[ Total - 2011]]-Table4[[#This Row],[ Total - 2001]]</f>
        <v>9</v>
      </c>
      <c r="G17" s="4">
        <v>15.6</v>
      </c>
      <c r="H17" s="4">
        <f>RANK(Table4[[#This Row],[Difference]],Table4[Difference])</f>
        <v>20</v>
      </c>
      <c r="I17" s="4">
        <f>RANK(Table4[[#This Row],[DGR -2001-11]],Table4[DGR -2001-11])</f>
        <v>22</v>
      </c>
      <c r="J17" s="4">
        <f>(Table4[[#This Row],[RANK DGR]]-Table4[[#This Row],[RANK DIFF.]])^2</f>
        <v>4</v>
      </c>
    </row>
    <row r="18" spans="1:10">
      <c r="A18" s="4" t="s">
        <v>104</v>
      </c>
      <c r="B18" s="4" t="s">
        <v>108</v>
      </c>
      <c r="C18" s="4" t="s">
        <v>54</v>
      </c>
      <c r="D18" s="4">
        <v>961</v>
      </c>
      <c r="E18" s="4">
        <v>973</v>
      </c>
      <c r="F18" s="4">
        <f>Table4[[#This Row],[ Total - 2011]]-Table4[[#This Row],[ Total - 2001]]</f>
        <v>12</v>
      </c>
      <c r="G18" s="4">
        <v>8.1999999999999993</v>
      </c>
      <c r="H18" s="4">
        <f>RANK(Table4[[#This Row],[Difference]],Table4[Difference])</f>
        <v>17</v>
      </c>
      <c r="I18" s="4">
        <f>RANK(Table4[[#This Row],[DGR -2001-11]],Table4[DGR -2001-11])</f>
        <v>31</v>
      </c>
      <c r="J18" s="4">
        <f>(Table4[[#This Row],[RANK DGR]]-Table4[[#This Row],[RANK DIFF.]])^2</f>
        <v>196</v>
      </c>
    </row>
    <row r="19" spans="1:10" s="1" customFormat="1" ht="17.25" customHeight="1">
      <c r="A19" s="5" t="s">
        <v>104</v>
      </c>
      <c r="B19" s="4" t="s">
        <v>38</v>
      </c>
      <c r="C19" s="4" t="s">
        <v>46</v>
      </c>
      <c r="D19" s="4">
        <v>948</v>
      </c>
      <c r="E19" s="4">
        <v>960</v>
      </c>
      <c r="F19" s="4">
        <f>Table4[[#This Row],[ Total - 2011]]-Table4[[#This Row],[ Total - 2001]]</f>
        <v>12</v>
      </c>
      <c r="G19" s="4">
        <v>14.8</v>
      </c>
      <c r="H19" s="4">
        <f>RANK(Table4[[#This Row],[Difference]],Table4[Difference])</f>
        <v>17</v>
      </c>
      <c r="I19" s="4">
        <f>RANK(Table4[[#This Row],[DGR -2001-11]],Table4[DGR -2001-11])</f>
        <v>24</v>
      </c>
      <c r="J19" s="4">
        <f>(Table4[[#This Row],[RANK DGR]]-Table4[[#This Row],[RANK DIFF.]])^2</f>
        <v>49</v>
      </c>
    </row>
    <row r="20" spans="1:10">
      <c r="A20" s="4" t="s">
        <v>104</v>
      </c>
      <c r="B20" s="4" t="s">
        <v>107</v>
      </c>
      <c r="C20" s="4" t="s">
        <v>75</v>
      </c>
      <c r="D20" s="4">
        <v>919</v>
      </c>
      <c r="E20" s="4">
        <v>931</v>
      </c>
      <c r="F20" s="4">
        <f>Table4[[#This Row],[ Total - 2011]]-Table4[[#This Row],[ Total - 2001]]</f>
        <v>12</v>
      </c>
      <c r="G20" s="4">
        <v>20.3</v>
      </c>
      <c r="H20" s="4">
        <f>RANK(Table4[[#This Row],[Difference]],Table4[Difference])</f>
        <v>17</v>
      </c>
      <c r="I20" s="4">
        <f>RANK(Table4[[#This Row],[DGR -2001-11]],Table4[DGR -2001-11])</f>
        <v>14</v>
      </c>
      <c r="J20" s="4">
        <f>(Table4[[#This Row],[RANK DGR]]-Table4[[#This Row],[RANK DIFF.]])^2</f>
        <v>9</v>
      </c>
    </row>
    <row r="21" spans="1:10">
      <c r="A21" s="4" t="s">
        <v>104</v>
      </c>
      <c r="B21" s="4" t="s">
        <v>94</v>
      </c>
      <c r="C21" s="4" t="s">
        <v>77</v>
      </c>
      <c r="D21" s="4">
        <v>898</v>
      </c>
      <c r="E21" s="4">
        <v>912</v>
      </c>
      <c r="F21" s="4">
        <f>Table4[[#This Row],[ Total - 2011]]-Table4[[#This Row],[ Total - 2001]]</f>
        <v>14</v>
      </c>
      <c r="G21" s="4">
        <v>20.2</v>
      </c>
      <c r="H21" s="4">
        <f>RANK(Table4[[#This Row],[Difference]],Table4[Difference])</f>
        <v>16</v>
      </c>
      <c r="I21" s="4">
        <f>RANK(Table4[[#This Row],[DGR -2001-11]],Table4[DGR -2001-11])</f>
        <v>15</v>
      </c>
      <c r="J21" s="4">
        <f>(Table4[[#This Row],[RANK DGR]]-Table4[[#This Row],[RANK DIFF.]])^2</f>
        <v>1</v>
      </c>
    </row>
    <row r="22" spans="1:10">
      <c r="A22" s="4" t="s">
        <v>104</v>
      </c>
      <c r="B22" s="4" t="s">
        <v>105</v>
      </c>
      <c r="C22" s="4" t="s">
        <v>52</v>
      </c>
      <c r="D22" s="4">
        <v>978</v>
      </c>
      <c r="E22" s="4">
        <v>993</v>
      </c>
      <c r="F22" s="4">
        <f>Table4[[#This Row],[ Total - 2011]]-Table4[[#This Row],[ Total - 2001]]</f>
        <v>15</v>
      </c>
      <c r="G22" s="4">
        <v>11</v>
      </c>
      <c r="H22" s="4">
        <f>RANK(Table4[[#This Row],[Difference]],Table4[Difference])</f>
        <v>14</v>
      </c>
      <c r="I22" s="4">
        <f>RANK(Table4[[#This Row],[DGR -2001-11]],Table4[DGR -2001-11])</f>
        <v>30</v>
      </c>
      <c r="J22" s="4">
        <f>(Table4[[#This Row],[RANK DGR]]-Table4[[#This Row],[RANK DIFF.]])^2</f>
        <v>256</v>
      </c>
    </row>
    <row r="23" spans="1:10">
      <c r="A23" s="4" t="s">
        <v>104</v>
      </c>
      <c r="B23" s="4" t="s">
        <v>38</v>
      </c>
      <c r="C23" s="4" t="s">
        <v>45</v>
      </c>
      <c r="D23" s="4">
        <v>875</v>
      </c>
      <c r="E23" s="4">
        <v>890</v>
      </c>
      <c r="F23" s="4">
        <f>Table4[[#This Row],[ Total - 2011]]-Table4[[#This Row],[ Total - 2001]]</f>
        <v>15</v>
      </c>
      <c r="G23" s="4">
        <v>12.9</v>
      </c>
      <c r="H23" s="4">
        <f>RANK(Table4[[#This Row],[Difference]],Table4[Difference])</f>
        <v>14</v>
      </c>
      <c r="I23" s="4">
        <f>RANK(Table4[[#This Row],[DGR -2001-11]],Table4[DGR -2001-11])</f>
        <v>28</v>
      </c>
      <c r="J23" s="4">
        <f>(Table4[[#This Row],[RANK DGR]]-Table4[[#This Row],[RANK DIFF.]])^2</f>
        <v>196</v>
      </c>
    </row>
    <row r="24" spans="1:10">
      <c r="A24" s="4" t="s">
        <v>104</v>
      </c>
      <c r="B24" s="4" t="s">
        <v>106</v>
      </c>
      <c r="C24" s="4" t="s">
        <v>78</v>
      </c>
      <c r="D24" s="4">
        <v>934</v>
      </c>
      <c r="E24" s="4">
        <v>950</v>
      </c>
      <c r="F24" s="4">
        <f>Table4[[#This Row],[ Total - 2011]]-Table4[[#This Row],[ Total - 2001]]</f>
        <v>16</v>
      </c>
      <c r="G24" s="4">
        <v>13.8</v>
      </c>
      <c r="H24" s="4">
        <f>RANK(Table4[[#This Row],[Difference]],Table4[Difference])</f>
        <v>13</v>
      </c>
      <c r="I24" s="4">
        <f>RANK(Table4[[#This Row],[DGR -2001-11]],Table4[DGR -2001-11])</f>
        <v>27</v>
      </c>
      <c r="J24" s="4">
        <f>(Table4[[#This Row],[RANK DGR]]-Table4[[#This Row],[RANK DIFF.]])^2</f>
        <v>196</v>
      </c>
    </row>
    <row r="25" spans="1:10">
      <c r="A25" s="4" t="s">
        <v>104</v>
      </c>
      <c r="B25" s="4" t="s">
        <v>38</v>
      </c>
      <c r="C25" s="4" t="s">
        <v>42</v>
      </c>
      <c r="D25" s="4">
        <v>972</v>
      </c>
      <c r="E25" s="4">
        <v>989</v>
      </c>
      <c r="F25" s="4">
        <f>Table4[[#This Row],[ Total - 2011]]-Table4[[#This Row],[ Total - 2001]]</f>
        <v>17</v>
      </c>
      <c r="G25" s="4">
        <v>27.9</v>
      </c>
      <c r="H25" s="4">
        <f>RANK(Table4[[#This Row],[Difference]],Table4[Difference])</f>
        <v>12</v>
      </c>
      <c r="I25" s="4">
        <f>RANK(Table4[[#This Row],[DGR -2001-11]],Table4[DGR -2001-11])</f>
        <v>4</v>
      </c>
      <c r="J25" s="4">
        <f>(Table4[[#This Row],[RANK DGR]]-Table4[[#This Row],[RANK DIFF.]])^2</f>
        <v>64</v>
      </c>
    </row>
    <row r="26" spans="1:10">
      <c r="A26" s="4" t="s">
        <v>104</v>
      </c>
      <c r="B26" s="4" t="s">
        <v>94</v>
      </c>
      <c r="C26" s="4" t="s">
        <v>83</v>
      </c>
      <c r="D26" s="4">
        <v>861</v>
      </c>
      <c r="E26" s="4">
        <v>879</v>
      </c>
      <c r="F26" s="4">
        <f>Table4[[#This Row],[ Total - 2011]]-Table4[[#This Row],[ Total - 2001]]</f>
        <v>18</v>
      </c>
      <c r="G26" s="4">
        <v>19.899999999999999</v>
      </c>
      <c r="H26" s="4">
        <f>RANK(Table4[[#This Row],[Difference]],Table4[Difference])</f>
        <v>11</v>
      </c>
      <c r="I26" s="4">
        <f>RANK(Table4[[#This Row],[DGR -2001-11]],Table4[DGR -2001-11])</f>
        <v>16</v>
      </c>
      <c r="J26" s="4">
        <f>(Table4[[#This Row],[RANK DGR]]-Table4[[#This Row],[RANK DIFF.]])^2</f>
        <v>25</v>
      </c>
    </row>
    <row r="27" spans="1:10">
      <c r="A27" s="4" t="s">
        <v>104</v>
      </c>
      <c r="B27" s="4" t="s">
        <v>94</v>
      </c>
      <c r="C27" s="4" t="s">
        <v>87</v>
      </c>
      <c r="D27" s="4">
        <v>876</v>
      </c>
      <c r="E27" s="4">
        <v>895</v>
      </c>
      <c r="F27" s="4">
        <f>Table4[[#This Row],[ Total - 2011]]-Table4[[#This Row],[ Total - 2001]]</f>
        <v>19</v>
      </c>
      <c r="G27" s="4">
        <v>13.9</v>
      </c>
      <c r="H27" s="4">
        <f>RANK(Table4[[#This Row],[Difference]],Table4[Difference])</f>
        <v>10</v>
      </c>
      <c r="I27" s="4">
        <f>RANK(Table4[[#This Row],[DGR -2001-11]],Table4[DGR -2001-11])</f>
        <v>26</v>
      </c>
      <c r="J27" s="4">
        <f>(Table4[[#This Row],[RANK DGR]]-Table4[[#This Row],[RANK DIFF.]])^2</f>
        <v>256</v>
      </c>
    </row>
    <row r="28" spans="1:10">
      <c r="A28" s="4" t="s">
        <v>104</v>
      </c>
      <c r="B28" s="4" t="s">
        <v>38</v>
      </c>
      <c r="C28" s="4" t="s">
        <v>40</v>
      </c>
      <c r="D28" s="4">
        <v>935</v>
      </c>
      <c r="E28" s="4">
        <v>958</v>
      </c>
      <c r="F28" s="4">
        <f>Table4[[#This Row],[ Total - 2011]]-Table4[[#This Row],[ Total - 2001]]</f>
        <v>23</v>
      </c>
      <c r="G28" s="4">
        <v>17.100000000000001</v>
      </c>
      <c r="H28" s="4">
        <f>RANK(Table4[[#This Row],[Difference]],Table4[Difference])</f>
        <v>9</v>
      </c>
      <c r="I28" s="4">
        <f>RANK(Table4[[#This Row],[DGR -2001-11]],Table4[DGR -2001-11])</f>
        <v>20</v>
      </c>
      <c r="J28" s="4">
        <f>(Table4[[#This Row],[RANK DGR]]-Table4[[#This Row],[RANK DIFF.]])^2</f>
        <v>121</v>
      </c>
    </row>
    <row r="29" spans="1:10">
      <c r="A29" s="4" t="s">
        <v>104</v>
      </c>
      <c r="B29" s="4" t="s">
        <v>105</v>
      </c>
      <c r="C29" s="4" t="s">
        <v>56</v>
      </c>
      <c r="D29" s="4">
        <v>1058</v>
      </c>
      <c r="E29" s="4">
        <v>1084</v>
      </c>
      <c r="F29" s="4">
        <f>Table4[[#This Row],[ Total - 2011]]-Table4[[#This Row],[ Total - 2001]]</f>
        <v>26</v>
      </c>
      <c r="G29" s="4">
        <v>4.9000000000000004</v>
      </c>
      <c r="H29" s="4">
        <f>RANK(Table4[[#This Row],[Difference]],Table4[Difference])</f>
        <v>8</v>
      </c>
      <c r="I29" s="4">
        <f>RANK(Table4[[#This Row],[DGR -2001-11]],Table4[DGR -2001-11])</f>
        <v>34</v>
      </c>
      <c r="J29" s="4">
        <f>(Table4[[#This Row],[RANK DGR]]-Table4[[#This Row],[RANK DIFF.]])^2</f>
        <v>676</v>
      </c>
    </row>
    <row r="30" spans="1:10">
      <c r="A30" s="4" t="s">
        <v>104</v>
      </c>
      <c r="B30" s="4" t="s">
        <v>109</v>
      </c>
      <c r="C30" s="4" t="s">
        <v>65</v>
      </c>
      <c r="D30" s="4">
        <v>846</v>
      </c>
      <c r="E30" s="4">
        <v>876</v>
      </c>
      <c r="F30" s="4">
        <f>Table4[[#This Row],[ Total - 2011]]-Table4[[#This Row],[ Total - 2001]]</f>
        <v>30</v>
      </c>
      <c r="G30" s="4">
        <v>6.9</v>
      </c>
      <c r="H30" s="4">
        <f>RANK(Table4[[#This Row],[Difference]],Table4[Difference])</f>
        <v>7</v>
      </c>
      <c r="I30" s="4">
        <f>RANK(Table4[[#This Row],[DGR -2001-11]],Table4[DGR -2001-11])</f>
        <v>32</v>
      </c>
      <c r="J30" s="4">
        <f>(Table4[[#This Row],[RANK DGR]]-Table4[[#This Row],[RANK DIFF.]])^2</f>
        <v>625</v>
      </c>
    </row>
    <row r="31" spans="1:10">
      <c r="A31" s="4" t="s">
        <v>61</v>
      </c>
      <c r="B31" s="4" t="s">
        <v>38</v>
      </c>
      <c r="C31" s="4" t="s">
        <v>44</v>
      </c>
      <c r="D31" s="4">
        <v>900</v>
      </c>
      <c r="E31" s="4">
        <v>931</v>
      </c>
      <c r="F31" s="4">
        <f>Table4[[#This Row],[ Total - 2011]]-Table4[[#This Row],[ Total - 2001]]</f>
        <v>31</v>
      </c>
      <c r="G31" s="4">
        <v>-0.6</v>
      </c>
      <c r="H31" s="4">
        <f>RANK(Table4[[#This Row],[Difference]],Table4[Difference])</f>
        <v>6</v>
      </c>
      <c r="I31" s="4">
        <f>RANK(Table4[[#This Row],[DGR -2001-11]],Table4[DGR -2001-11])</f>
        <v>35</v>
      </c>
      <c r="J31" s="4">
        <f>(Table4[[#This Row],[RANK DGR]]-Table4[[#This Row],[RANK DIFF.]])^2</f>
        <v>841</v>
      </c>
    </row>
    <row r="32" spans="1:10">
      <c r="A32" s="4" t="s">
        <v>104</v>
      </c>
      <c r="B32" s="4" t="s">
        <v>109</v>
      </c>
      <c r="C32" s="4" t="s">
        <v>58</v>
      </c>
      <c r="D32" s="4">
        <v>1001</v>
      </c>
      <c r="E32" s="4">
        <v>1037</v>
      </c>
      <c r="F32" s="4">
        <f>Table4[[#This Row],[ Total - 2011]]-Table4[[#This Row],[ Total - 2001]]</f>
        <v>36</v>
      </c>
      <c r="G32" s="4">
        <v>28.1</v>
      </c>
      <c r="H32" s="4">
        <f>RANK(Table4[[#This Row],[Difference]],Table4[Difference])</f>
        <v>5</v>
      </c>
      <c r="I32" s="4">
        <f>RANK(Table4[[#This Row],[DGR -2001-11]],Table4[DGR -2001-11])</f>
        <v>3</v>
      </c>
      <c r="J32" s="4">
        <f>(Table4[[#This Row],[RANK DGR]]-Table4[[#This Row],[RANK DIFF.]])^2</f>
        <v>4</v>
      </c>
    </row>
    <row r="33" spans="1:10">
      <c r="A33" s="4" t="s">
        <v>61</v>
      </c>
      <c r="B33" s="4" t="s">
        <v>109</v>
      </c>
      <c r="C33" s="4" t="s">
        <v>66</v>
      </c>
      <c r="D33" s="4">
        <v>777</v>
      </c>
      <c r="E33" s="4">
        <v>818</v>
      </c>
      <c r="F33" s="4">
        <f>Table4[[#This Row],[ Total - 2011]]-Table4[[#This Row],[ Total - 2001]]</f>
        <v>41</v>
      </c>
      <c r="G33" s="4">
        <v>17.2</v>
      </c>
      <c r="H33" s="4">
        <f>RANK(Table4[[#This Row],[Difference]],Table4[Difference])</f>
        <v>3</v>
      </c>
      <c r="I33" s="4">
        <f>RANK(Table4[[#This Row],[DGR -2001-11]],Table4[DGR -2001-11])</f>
        <v>19</v>
      </c>
      <c r="J33" s="4">
        <f>(Table4[[#This Row],[RANK DGR]]-Table4[[#This Row],[RANK DIFF.]])^2</f>
        <v>256</v>
      </c>
    </row>
    <row r="34" spans="1:10">
      <c r="A34" s="4" t="s">
        <v>61</v>
      </c>
      <c r="B34" s="4" t="s">
        <v>38</v>
      </c>
      <c r="C34" s="4" t="s">
        <v>43</v>
      </c>
      <c r="D34" s="4">
        <v>935</v>
      </c>
      <c r="E34" s="4">
        <v>976</v>
      </c>
      <c r="F34" s="4">
        <f>Table4[[#This Row],[ Total - 2011]]-Table4[[#This Row],[ Total - 2001]]</f>
        <v>41</v>
      </c>
      <c r="G34" s="4">
        <v>23.5</v>
      </c>
      <c r="H34" s="4">
        <f>RANK(Table4[[#This Row],[Difference]],Table4[Difference])</f>
        <v>3</v>
      </c>
      <c r="I34" s="4">
        <f>RANK(Table4[[#This Row],[DGR -2001-11]],Table4[DGR -2001-11])</f>
        <v>9</v>
      </c>
      <c r="J34" s="4">
        <f>(Table4[[#This Row],[RANK DGR]]-Table4[[#This Row],[RANK DIFF.]])^2</f>
        <v>36</v>
      </c>
    </row>
    <row r="35" spans="1:10">
      <c r="A35" s="4" t="s">
        <v>104</v>
      </c>
      <c r="B35" s="4" t="s">
        <v>38</v>
      </c>
      <c r="C35" s="4" t="s">
        <v>39</v>
      </c>
      <c r="D35" s="4">
        <v>893</v>
      </c>
      <c r="E35" s="4">
        <v>938</v>
      </c>
      <c r="F35" s="4">
        <f>Table4[[#This Row],[ Total - 2011]]-Table4[[#This Row],[ Total - 2001]]</f>
        <v>45</v>
      </c>
      <c r="G35" s="4">
        <v>26</v>
      </c>
      <c r="H35" s="4">
        <f>RANK(Table4[[#This Row],[Difference]],Table4[Difference])</f>
        <v>2</v>
      </c>
      <c r="I35" s="4">
        <f>RANK(Table4[[#This Row],[DGR -2001-11]],Table4[DGR -2001-11])</f>
        <v>5</v>
      </c>
      <c r="J35" s="4">
        <f>(Table4[[#This Row],[RANK DGR]]-Table4[[#This Row],[RANK DIFF.]])^2</f>
        <v>9</v>
      </c>
    </row>
    <row r="36" spans="1:10">
      <c r="A36" s="4" t="s">
        <v>104</v>
      </c>
      <c r="B36" s="4" t="s">
        <v>109</v>
      </c>
      <c r="C36" s="4" t="s">
        <v>70</v>
      </c>
      <c r="D36" s="4">
        <v>821</v>
      </c>
      <c r="E36" s="4">
        <v>868</v>
      </c>
      <c r="F36" s="4">
        <f>Table4[[#This Row],[ Total - 2011]]-Table4[[#This Row],[ Total - 2001]]</f>
        <v>47</v>
      </c>
      <c r="G36" s="4">
        <v>21.2</v>
      </c>
      <c r="H36" s="4">
        <f>RANK(Table4[[#This Row],[Difference]],Table4[Difference])</f>
        <v>1</v>
      </c>
      <c r="I36" s="4">
        <f>RANK(Table4[[#This Row],[DGR -2001-11]],Table4[DGR -2001-11])</f>
        <v>13</v>
      </c>
      <c r="J36" s="4">
        <f>(Table4[[#This Row],[RANK DGR]]-Table4[[#This Row],[RANK DIFF.]])^2</f>
        <v>144</v>
      </c>
    </row>
    <row r="37" spans="1:10">
      <c r="A37" s="54"/>
      <c r="B37" s="54"/>
      <c r="C37" s="54"/>
      <c r="D37" s="54"/>
      <c r="E37" s="54"/>
      <c r="F37" s="54">
        <f>AVERAGE(Table4[Difference])</f>
        <v>11.2</v>
      </c>
      <c r="G37" s="54"/>
      <c r="H37" s="55"/>
      <c r="I37" s="55"/>
      <c r="J37" s="55"/>
    </row>
    <row r="38" spans="1:10">
      <c r="A38" s="4"/>
      <c r="B38" s="4"/>
      <c r="C38" s="4"/>
      <c r="D38" s="4"/>
      <c r="E38" s="4"/>
      <c r="F38" s="4"/>
      <c r="G38" s="4"/>
      <c r="H38" s="4"/>
      <c r="I38" s="4"/>
      <c r="J38" s="4">
        <f>SUM(Table4[(RANK DGR-RANK DIFF.)^2])</f>
        <v>8457.25</v>
      </c>
    </row>
    <row r="51" spans="9:11">
      <c r="I51" s="6"/>
      <c r="J51" s="7"/>
      <c r="K51" s="8"/>
    </row>
    <row r="52" spans="9:11">
      <c r="I52" s="9"/>
      <c r="J52" s="10"/>
      <c r="K52" s="11"/>
    </row>
    <row r="53" spans="9:11">
      <c r="I53" s="9"/>
      <c r="J53" s="10"/>
      <c r="K53" s="11"/>
    </row>
    <row r="54" spans="9:11">
      <c r="I54" s="9"/>
      <c r="J54" s="10"/>
      <c r="K54" s="11"/>
    </row>
    <row r="55" spans="9:11">
      <c r="I55" s="9"/>
      <c r="J55" s="10"/>
      <c r="K55" s="11"/>
    </row>
    <row r="56" spans="9:11">
      <c r="I56" s="9"/>
      <c r="J56" s="10"/>
      <c r="K56" s="11"/>
    </row>
    <row r="57" spans="9:11">
      <c r="I57" s="9"/>
      <c r="J57" s="10"/>
      <c r="K57" s="11"/>
    </row>
    <row r="58" spans="9:11">
      <c r="I58" s="9"/>
      <c r="J58" s="10"/>
      <c r="K58" s="11"/>
    </row>
    <row r="59" spans="9:11">
      <c r="I59" s="9"/>
      <c r="J59" s="10"/>
      <c r="K59" s="11"/>
    </row>
    <row r="60" spans="9:11">
      <c r="I60" s="9"/>
      <c r="J60" s="10"/>
      <c r="K60" s="11"/>
    </row>
    <row r="61" spans="9:11">
      <c r="I61" s="9"/>
      <c r="J61" s="10"/>
      <c r="K61" s="11"/>
    </row>
    <row r="62" spans="9:11">
      <c r="I62" s="9"/>
      <c r="J62" s="10"/>
      <c r="K62" s="11"/>
    </row>
    <row r="63" spans="9:11">
      <c r="I63" s="9"/>
      <c r="J63" s="10"/>
      <c r="K63" s="11"/>
    </row>
    <row r="64" spans="9:11">
      <c r="I64" s="9"/>
      <c r="J64" s="10"/>
      <c r="K64" s="11"/>
    </row>
    <row r="65" spans="9:11">
      <c r="I65" s="9"/>
      <c r="J65" s="10"/>
      <c r="K65" s="11"/>
    </row>
    <row r="66" spans="9:11">
      <c r="I66" s="9"/>
      <c r="J66" s="10"/>
      <c r="K66" s="11"/>
    </row>
    <row r="67" spans="9:11">
      <c r="I67" s="9"/>
      <c r="J67" s="10"/>
      <c r="K67" s="11"/>
    </row>
    <row r="68" spans="9:11">
      <c r="I68" s="12"/>
      <c r="J68" s="13"/>
      <c r="K68" s="14"/>
    </row>
  </sheetData>
  <pageMargins left="0.7" right="0.7" top="0.75" bottom="0.75" header="0.3" footer="0.3"/>
  <pageSetup paperSize="9" orientation="portrait"/>
  <ignoredErrors>
    <ignoredError sqref="H6 F2 F12" calculatedColumn="1"/>
  </ignoredError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2DB0D68F-C7E5-475B-A453-111634387B2F}">
  <ds:schemaRefs/>
</ds:datastoreItem>
</file>

<file path=customXml/itemProps2.xml><?xml version="1.0" encoding="utf-8"?>
<ds:datastoreItem xmlns:ds="http://schemas.openxmlformats.org/officeDocument/2006/customXml" ds:itemID="{9B62AE7D-F33D-4E08-912C-0DA58C6C2455}">
  <ds:schemaRefs/>
</ds:datastoreItem>
</file>

<file path=customXml/itemProps3.xml><?xml version="1.0" encoding="utf-8"?>
<ds:datastoreItem xmlns:ds="http://schemas.openxmlformats.org/officeDocument/2006/customXml" ds:itemID="{8F82D33B-A4D7-43A2-9DF2-9DA4D9A54FDC}">
  <ds:schemaRefs/>
</ds:datastoreItem>
</file>

<file path=customXml/itemProps4.xml><?xml version="1.0" encoding="utf-8"?>
<ds:datastoreItem xmlns:ds="http://schemas.openxmlformats.org/officeDocument/2006/customXml" ds:itemID="{8FD4AA7C-019F-4AE6-AE91-5E985426AADB}">
  <ds:schemaRefs/>
</ds:datastoreItem>
</file>

<file path=customXml/itemProps5.xml><?xml version="1.0" encoding="utf-8"?>
<ds:datastoreItem xmlns:ds="http://schemas.openxmlformats.org/officeDocument/2006/customXml" ds:itemID="{27171E40-5589-4FD3-9D4B-A9EF7EF06E20}">
  <ds:schemaRefs/>
</ds:datastoreItem>
</file>

<file path=customXml/itemProps6.xml><?xml version="1.0" encoding="utf-8"?>
<ds:datastoreItem xmlns:ds="http://schemas.openxmlformats.org/officeDocument/2006/customXml" ds:itemID="{5BCD2454-01ED-4A61-AA6F-9983E0CD9F01}">
  <ds:schemaRefs/>
</ds:datastoreItem>
</file>

<file path=customXml/itemProps7.xml><?xml version="1.0" encoding="utf-8"?>
<ds:datastoreItem xmlns:ds="http://schemas.openxmlformats.org/officeDocument/2006/customXml" ds:itemID="{DE1C19E1-B11C-4689-A80C-08550E4140CA}">
  <ds:schemaRefs/>
</ds:datastoreItem>
</file>

<file path=customXml/itemProps8.xml><?xml version="1.0" encoding="utf-8"?>
<ds:datastoreItem xmlns:ds="http://schemas.openxmlformats.org/officeDocument/2006/customXml" ds:itemID="{F97DB35F-F381-4697-BF11-1ACCCBC8E9BF}">
  <ds:schemaRefs/>
</ds:datastoreItem>
</file>

<file path=customXml/itemProps9.xml><?xml version="1.0" encoding="utf-8"?>
<ds:datastoreItem xmlns:ds="http://schemas.openxmlformats.org/officeDocument/2006/customXml" ds:itemID="{90A7D9D4-EDAE-4E26-9352-549A5CC822EC}">
  <ds:schemaRefs/>
</ds:datastoreItem>
</file>

<file path=customXml/itemProps10.xml><?xml version="1.0" encoding="utf-8"?>
<ds:datastoreItem xmlns:ds="http://schemas.openxmlformats.org/officeDocument/2006/customXml" ds:itemID="{40C6A95C-6677-4152-ADC2-7B864D5168AD}">
  <ds:schemaRefs/>
</ds:datastoreItem>
</file>

<file path=customXml/itemProps11.xml><?xml version="1.0" encoding="utf-8"?>
<ds:datastoreItem xmlns:ds="http://schemas.openxmlformats.org/officeDocument/2006/customXml" ds:itemID="{B3C4222F-148B-4DBA-99D5-9312560D9ACE}">
  <ds:schemaRefs/>
</ds:datastoreItem>
</file>

<file path=customXml/itemProps12.xml><?xml version="1.0" encoding="utf-8"?>
<ds:datastoreItem xmlns:ds="http://schemas.openxmlformats.org/officeDocument/2006/customXml" ds:itemID="{F56C9C8A-115E-41C6-83C1-F22FC8066ED2}">
  <ds:schemaRefs/>
</ds:datastoreItem>
</file>

<file path=customXml/itemProps13.xml><?xml version="1.0" encoding="utf-8"?>
<ds:datastoreItem xmlns:ds="http://schemas.openxmlformats.org/officeDocument/2006/customXml" ds:itemID="{604BF385-3A68-4235-879B-C9C853558493}">
  <ds:schemaRefs/>
</ds:datastoreItem>
</file>

<file path=customXml/itemProps14.xml><?xml version="1.0" encoding="utf-8"?>
<ds:datastoreItem xmlns:ds="http://schemas.openxmlformats.org/officeDocument/2006/customXml" ds:itemID="{ABB7610C-5852-4FB5-B79F-48B0247E8DF6}">
  <ds:schemaRefs/>
</ds:datastoreItem>
</file>

<file path=customXml/itemProps15.xml><?xml version="1.0" encoding="utf-8"?>
<ds:datastoreItem xmlns:ds="http://schemas.openxmlformats.org/officeDocument/2006/customXml" ds:itemID="{E10EBA76-5F94-460E-B0F1-4A7D74C5AD75}">
  <ds:schemaRefs/>
</ds:datastoreItem>
</file>

<file path=customXml/itemProps16.xml><?xml version="1.0" encoding="utf-8"?>
<ds:datastoreItem xmlns:ds="http://schemas.openxmlformats.org/officeDocument/2006/customXml" ds:itemID="{058E7137-AECB-4447-8814-84D13887DC3C}">
  <ds:schemaRefs/>
</ds:datastoreItem>
</file>

<file path=customXml/itemProps17.xml><?xml version="1.0" encoding="utf-8"?>
<ds:datastoreItem xmlns:ds="http://schemas.openxmlformats.org/officeDocument/2006/customXml" ds:itemID="{DEF41D55-348A-470B-BC81-31D6EA8C9ACA}">
  <ds:schemaRefs/>
</ds:datastoreItem>
</file>

<file path=customXml/itemProps18.xml><?xml version="1.0" encoding="utf-8"?>
<ds:datastoreItem xmlns:ds="http://schemas.openxmlformats.org/officeDocument/2006/customXml" ds:itemID="{FE232C1E-2A77-42D8-BA93-76061D7DAD13}">
  <ds:schemaRefs/>
</ds:datastoreItem>
</file>

<file path=customXml/itemProps19.xml><?xml version="1.0" encoding="utf-8"?>
<ds:datastoreItem xmlns:ds="http://schemas.openxmlformats.org/officeDocument/2006/customXml" ds:itemID="{E990EBFA-BD8F-4854-ABBB-7B2FBAA8FFFF}">
  <ds:schemaRefs/>
</ds:datastoreItem>
</file>

<file path=customXml/itemProps20.xml><?xml version="1.0" encoding="utf-8"?>
<ds:datastoreItem xmlns:ds="http://schemas.openxmlformats.org/officeDocument/2006/customXml" ds:itemID="{3E7A5A2D-0428-4BAD-86A3-1C03FADD3024}">
  <ds:schemaRefs/>
</ds:datastoreItem>
</file>

<file path=customXml/itemProps21.xml><?xml version="1.0" encoding="utf-8"?>
<ds:datastoreItem xmlns:ds="http://schemas.openxmlformats.org/officeDocument/2006/customXml" ds:itemID="{8C6C2004-4655-4EEB-812B-D52C274EBBD5}">
  <ds:schemaRefs/>
</ds:datastoreItem>
</file>

<file path=customXml/itemProps22.xml><?xml version="1.0" encoding="utf-8"?>
<ds:datastoreItem xmlns:ds="http://schemas.openxmlformats.org/officeDocument/2006/customXml" ds:itemID="{1A8A5CF7-BF59-4EF5-896C-D7705198F5E6}">
  <ds:schemaRefs/>
</ds:datastoreItem>
</file>

<file path=customXml/itemProps23.xml><?xml version="1.0" encoding="utf-8"?>
<ds:datastoreItem xmlns:ds="http://schemas.openxmlformats.org/officeDocument/2006/customXml" ds:itemID="{2C8A0F83-0E4F-4B7A-9CCF-6846571779A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5</vt:i4>
      </vt:variant>
    </vt:vector>
  </HeadingPairs>
  <TitlesOfParts>
    <vt:vector size="29" baseType="lpstr">
      <vt:lpstr>INDEX</vt:lpstr>
      <vt:lpstr>INTRO</vt:lpstr>
      <vt:lpstr>DASHBOARD</vt:lpstr>
      <vt:lpstr>1)SEX RATIO COMPLETE</vt:lpstr>
      <vt:lpstr>2)CHANGE IN SEX RATIO</vt:lpstr>
      <vt:lpstr>3)SUB CATEGORY WISE TOTAL</vt:lpstr>
      <vt:lpstr>4)ratio of U.T.</vt:lpstr>
      <vt:lpstr>5)CSR VS SR</vt:lpstr>
      <vt:lpstr>6)LR_VS_SR_PIVOT</vt:lpstr>
      <vt:lpstr>7)DGR_VS_SR_PIVOT</vt:lpstr>
      <vt:lpstr>ZONES WISE</vt:lpstr>
      <vt:lpstr>BOTTOM 5 SEX RATIO OF 2011</vt:lpstr>
      <vt:lpstr>RATIO OF RURAL TO URBAN</vt:lpstr>
      <vt:lpstr>SEX__RATIO</vt:lpstr>
      <vt:lpstr>%CHANGE</vt:lpstr>
      <vt:lpstr>Child sex ratio</vt:lpstr>
      <vt:lpstr>2001</vt:lpstr>
      <vt:lpstr>LITERACY RATE1</vt:lpstr>
      <vt:lpstr>LITERACY RATE</vt:lpstr>
      <vt:lpstr>CALCULATING CORR. COEFF.</vt:lpstr>
      <vt:lpstr>STATE WISE DIFFRENCE</vt:lpstr>
      <vt:lpstr>RANK OF FEMALE</vt:lpstr>
      <vt:lpstr>DASHBOARD2</vt:lpstr>
      <vt:lpstr>decadal growth rate vs S.R. </vt:lpstr>
      <vt:lpstr>dgr_vs_sr_pivot</vt:lpstr>
      <vt:lpstr>dgr_vs_sr_table</vt:lpstr>
      <vt:lpstr>literacy_rate_sr_table</vt:lpstr>
      <vt:lpstr>lr_vs_sr_pivot</vt:lpstr>
      <vt:lpstr>LR_VS_SR_TABLE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 mishra</dc:creator>
  <cp:lastModifiedBy>Shyam jat</cp:lastModifiedBy>
  <dcterms:created xsi:type="dcterms:W3CDTF">2018-11-05T09:40:00Z</dcterms:created>
  <dcterms:modified xsi:type="dcterms:W3CDTF">2019-11-19T06:52:46Z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1033-11.2.0.8991</vt:lpwstr>
  </property>
</Properties>
</file>